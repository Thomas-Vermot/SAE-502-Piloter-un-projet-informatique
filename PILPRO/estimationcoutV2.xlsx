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Matériel" sheetId="2" state="visible" r:id="rId4"/>
    <sheet name="Logiciels et licences" sheetId="3" state="visible" r:id="rId5"/>
    <sheet name="Abonnements" sheetId="4" state="visible" r:id="rId6"/>
    <sheet name="Sécurité" sheetId="5" state="visible" r:id="rId7"/>
    <sheet name="Supervision" sheetId="6" state="visible" r:id="rId8"/>
    <sheet name="Maintenance" sheetId="7" state="visible" r:id="rId9"/>
    <sheet name="Installation" sheetId="8" state="visible" r:id="rId10"/>
    <sheet name="Planning" sheetId="9" state="visible" r:id="rId11"/>
    <sheet name="Hypothès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<sst xmlns="http://schemas.openxmlformats.org/spreadsheetml/2006/main" count="806" uniqueCount="491">
  <si>
    <t xml:space="preserve">Hôpital de campagne – Synthèse du chiffrage informatique et réseau</t>
  </si>
  <si>
    <t xml:space="preserve">Projet étudiant. Prix HT estimés 2025-2026 (à confirmer par devis). Budget de la première année : achats + installation + 12 mois de services.</t>
  </si>
  <si>
    <t xml:space="preserve">Poste</t>
  </si>
  <si>
    <t xml:space="preserve">Montant HT</t>
  </si>
  <si>
    <t xml:space="preserve">Part du total HT</t>
  </si>
  <si>
    <t xml:space="preserve">Source</t>
  </si>
  <si>
    <t xml:space="preserve">Total matériel</t>
  </si>
  <si>
    <t xml:space="preserve">Onglet Matériel</t>
  </si>
  <si>
    <t xml:space="preserve">Total logiciels</t>
  </si>
  <si>
    <t xml:space="preserve">Onglet Logiciels et licences</t>
  </si>
  <si>
    <t xml:space="preserve">Total licences</t>
  </si>
  <si>
    <t xml:space="preserve">CAL Windows Server</t>
  </si>
  <si>
    <t xml:space="preserve">Total abonnements (12 mois)</t>
  </si>
  <si>
    <t xml:space="preserve">Onglet Abonnements</t>
  </si>
  <si>
    <t xml:space="preserve">Total sécurité</t>
  </si>
  <si>
    <t xml:space="preserve">Onglet Sécurité</t>
  </si>
  <si>
    <t xml:space="preserve">Total supervision</t>
  </si>
  <si>
    <t xml:space="preserve">Onglet Supervision</t>
  </si>
  <si>
    <t xml:space="preserve">Total maintenance</t>
  </si>
  <si>
    <t xml:space="preserve">Onglet Maintenance</t>
  </si>
  <si>
    <t xml:space="preserve">Installation et main d'œuvre</t>
  </si>
  <si>
    <t xml:space="preserve">Onglet Installation</t>
  </si>
  <si>
    <t xml:space="preserve">Aléas</t>
  </si>
  <si>
    <t xml:space="preserve">% sur matériel + installation</t>
  </si>
  <si>
    <t xml:space="preserve">TOTAL HT</t>
  </si>
  <si>
    <t xml:space="preserve">TVA</t>
  </si>
  <si>
    <t xml:space="preserve">Taux défini dans Hypothèses</t>
  </si>
  <si>
    <t xml:space="preserve">TOTAL TTC</t>
  </si>
  <si>
    <t xml:space="preserve">Coûts récurrents annuels (années suivantes)</t>
  </si>
  <si>
    <t xml:space="preserve">Renouvellement des logiciels</t>
  </si>
  <si>
    <t xml:space="preserve">Abonnements (12 mois)</t>
  </si>
  <si>
    <t xml:space="preserve">Sécurité (renouvellements)</t>
  </si>
  <si>
    <t xml:space="preserve">Supervision (récurrent)</t>
  </si>
  <si>
    <t xml:space="preserve">Maintenance (récurrent)</t>
  </si>
  <si>
    <t xml:space="preserve">TOTAL RÉCURRENT ANNUEL HT</t>
  </si>
  <si>
    <t xml:space="preserve">TOTAL RÉCURRENT ANNUEL TTC</t>
  </si>
  <si>
    <t xml:space="preserve">Indicateurs complémentaires</t>
  </si>
  <si>
    <t xml:space="preserve">Amortissement annuel du matériel (HT)</t>
  </si>
  <si>
    <t xml:space="preserve">Information : matériel / durée d'amortissement</t>
  </si>
  <si>
    <t xml:space="preserve">Projection sur 3 ans (HT)</t>
  </si>
  <si>
    <t xml:space="preserve">Année 1 + 2 années de coûts récurrents</t>
  </si>
  <si>
    <t xml:space="preserve">Projection sur 3 ans (TTC)</t>
  </si>
  <si>
    <t xml:space="preserve">Mise en service du réseau interne (semaines, max)</t>
  </si>
  <si>
    <t xml:space="preserve">Onglet Planning</t>
  </si>
  <si>
    <t xml:space="preserve">Mise en service complète, tous liens (semaines, max)</t>
  </si>
  <si>
    <t xml:space="preserve">Limitée par l'Orange FTTO</t>
  </si>
  <si>
    <t xml:space="preserve">Matériel</t>
  </si>
  <si>
    <t xml:space="preserve">Prix HT estimés (2025-2026). Jaune = option ou champ à compléter (quantité 0). Pare-feu, NAS, extension mémoire et pièces de rechange sont comptés dans Sécurité, Supervision et Maintenance.</t>
  </si>
  <si>
    <t xml:space="preserve">Catégorie</t>
  </si>
  <si>
    <t xml:space="preserve">Équipement</t>
  </si>
  <si>
    <t xml:space="preserve">Marque</t>
  </si>
  <si>
    <t xml:space="preserve">Modèle</t>
  </si>
  <si>
    <t xml:space="preserve">Quantité</t>
  </si>
  <si>
    <t xml:space="preserve">Prix unitaire HT</t>
  </si>
  <si>
    <t xml:space="preserve">Total HT</t>
  </si>
  <si>
    <t xml:space="preserve">Durée d'amortissement (ans)</t>
  </si>
  <si>
    <t xml:space="preserve">Rôle</t>
  </si>
  <si>
    <t xml:space="preserve">Remarques</t>
  </si>
  <si>
    <t xml:space="preserve">Amortissement annuel HT</t>
  </si>
  <si>
    <t xml:space="preserve">Statut du prix</t>
  </si>
  <si>
    <t xml:space="preserve">Réseau</t>
  </si>
  <si>
    <t xml:space="preserve">Routeur OSPF (cœur et distribution)</t>
  </si>
  <si>
    <t xml:space="preserve">MikroTik</t>
  </si>
  <si>
    <t xml:space="preserve">RB5009UG+S+IN</t>
  </si>
  <si>
    <t xml:space="preserve">Routage OSPF, VRRP entre les LAN</t>
  </si>
  <si>
    <t xml:space="preserve">6 routeurs identiques : maintenance simplifiée</t>
  </si>
  <si>
    <t xml:space="preserve">Estimation</t>
  </si>
  <si>
    <t xml:space="preserve">Switch L2 WAN (3 liens)</t>
  </si>
  <si>
    <t xml:space="preserve">TP-Link</t>
  </si>
  <si>
    <t xml:space="preserve">Omada SG2210P</t>
  </si>
  <si>
    <t xml:space="preserve">Reçoit FTTO, Free et 5G (VLAN 10/20/30)</t>
  </si>
  <si>
    <t xml:space="preserve">Alternative : TL-SG108E</t>
  </si>
  <si>
    <t xml:space="preserve">Switch L2 côté firewall</t>
  </si>
  <si>
    <t xml:space="preserve">Cisco</t>
  </si>
  <si>
    <t xml:space="preserve">CBS350-24T-4G</t>
  </si>
  <si>
    <t xml:space="preserve">Distribution côté pare-feu</t>
  </si>
  <si>
    <t xml:space="preserve">4 ports SFP</t>
  </si>
  <si>
    <t xml:space="preserve">Switch L2 LAN 5 (serveurs)</t>
  </si>
  <si>
    <t xml:space="preserve">Raccorde les 4 serveurs</t>
  </si>
  <si>
    <t xml:space="preserve">SFP en liaison montante</t>
  </si>
  <si>
    <t xml:space="preserve">Switch L2 PoE LAN 1, 2 et 3</t>
  </si>
  <si>
    <t xml:space="preserve">CBS250-24PP-4G</t>
  </si>
  <si>
    <t xml:space="preserve">Accès salle d'opération, labo, hall ; alimente bornes, téléphone, capteur</t>
  </si>
  <si>
    <t xml:space="preserve">PoE+ 100 W</t>
  </si>
  <si>
    <t xml:space="preserve">Switch L2 PoE LAN 4 (chambre)</t>
  </si>
  <si>
    <t xml:space="preserve">CBS250-8PP-D</t>
  </si>
  <si>
    <t xml:space="preserve">Accès chambre, téléphone IP</t>
  </si>
  <si>
    <t xml:space="preserve">Sans ventilateur (silencieux)</t>
  </si>
  <si>
    <t xml:space="preserve">Borne Wi-Fi</t>
  </si>
  <si>
    <t xml:space="preserve">Ubiquiti</t>
  </si>
  <si>
    <t xml:space="preserve">UniFi U6 Pro</t>
  </si>
  <si>
    <t xml:space="preserve">Wi-Fi 6 LAN 2 et LAN 3, roaming 802.11r/k/v</t>
  </si>
  <si>
    <t xml:space="preserve">Alternative : TP-Link EAP650</t>
  </si>
  <si>
    <t xml:space="preserve">Module SFP 1G (liaisons montantes fibre)</t>
  </si>
  <si>
    <t xml:space="preserve">Compatible Cisco/MikroTik</t>
  </si>
  <si>
    <t xml:space="preserve">SFP 1000BASE-SX</t>
  </si>
  <si>
    <t xml:space="preserve">Liaisons fibre entre locaux si nécessaire</t>
  </si>
  <si>
    <t xml:space="preserve">HYPOTHÈSE : à confirmer selon les distances</t>
  </si>
  <si>
    <t xml:space="preserve">Routeur 5G (lien de secours)</t>
  </si>
  <si>
    <t xml:space="preserve">Teltonika</t>
  </si>
  <si>
    <t xml:space="preserve">RUTX50</t>
  </si>
  <si>
    <t xml:space="preserve">Lien de secours VLAN 30</t>
  </si>
  <si>
    <t xml:space="preserve">Cité dans le PDF des liens ; ONT Orange/Free fournis par les opérateurs</t>
  </si>
  <si>
    <t xml:space="preserve">Serveurs</t>
  </si>
  <si>
    <t xml:space="preserve">Serveur AD / DHCP / DNS (.1)</t>
  </si>
  <si>
    <t xml:space="preserve">Dell</t>
  </si>
  <si>
    <t xml:space="preserve">PowerEdge T150 (sans OS)</t>
  </si>
  <si>
    <t xml:space="preserve">Annuaire, DHCP, DNS, fichiers, impression</t>
  </si>
  <si>
    <t xml:space="preserve">Xeon E-2300, 16 Go ECC, 2 disques RAID 1 ; OS compté dans Logiciels</t>
  </si>
  <si>
    <t xml:space="preserve">Serveur WEB / BDD (.2)</t>
  </si>
  <si>
    <t xml:space="preserve">PowerEdge T150</t>
  </si>
  <si>
    <t xml:space="preserve">Application web (3000), MariaDB (3306), hyperviseur des VM de supervision</t>
  </si>
  <si>
    <t xml:space="preserve">Mémoire portée à 32 Go (voir Supervision)</t>
  </si>
  <si>
    <t xml:space="preserve">Serveur MQTT / Node-RED (.3)</t>
  </si>
  <si>
    <t xml:space="preserve">Intel</t>
  </si>
  <si>
    <t xml:space="preserve">NUC 13 Pro</t>
  </si>
  <si>
    <t xml:space="preserve">Mosquitto 1883/8883, Node-RED 1880</t>
  </si>
  <si>
    <t xml:space="preserve">Alternative : Raspberry Pi 5 (≈ 100 €)</t>
  </si>
  <si>
    <t xml:space="preserve">Serveur de téléphonie (.4)</t>
  </si>
  <si>
    <t xml:space="preserve">OptiPlex Micro</t>
  </si>
  <si>
    <t xml:space="preserve">Asterisk / FreePBX, appels SIP internes</t>
  </si>
  <si>
    <t xml:space="preserve">Léger</t>
  </si>
  <si>
    <t xml:space="preserve">Postes et périphériques</t>
  </si>
  <si>
    <t xml:space="preserve">Poste informatique accueil</t>
  </si>
  <si>
    <t xml:space="preserve">OptiPlex 3000 Micro</t>
  </si>
  <si>
    <t xml:space="preserve">Postes du hall d'accueil (LAN 3)</t>
  </si>
  <si>
    <t xml:space="preserve">Windows 11 Pro inclus</t>
  </si>
  <si>
    <t xml:space="preserve">Écran 24"</t>
  </si>
  <si>
    <t xml:space="preserve">P2425H</t>
  </si>
  <si>
    <t xml:space="preserve">Écrans des 2 postes d'accueil</t>
  </si>
  <si>
    <t xml:space="preserve">Postes utilisateurs supplémentaires</t>
  </si>
  <si>
    <t xml:space="preserve">Postes complémentaires éventuels</t>
  </si>
  <si>
    <t xml:space="preserve">À COMPLÉTER (0 par défaut)</t>
  </si>
  <si>
    <t xml:space="preserve">Imprimante laser réseau</t>
  </si>
  <si>
    <t xml:space="preserve">HP</t>
  </si>
  <si>
    <t xml:space="preserve">LaserJet Pro M404dn</t>
  </si>
  <si>
    <t xml:space="preserve">Impression via le serveur Windows (.1)</t>
  </si>
  <si>
    <t xml:space="preserve">AJOUT DEMANDÉ ; emplacement à définir ; IP réservée en DHCP</t>
  </si>
  <si>
    <t xml:space="preserve">Téléphone IP</t>
  </si>
  <si>
    <t xml:space="preserve">Yealink</t>
  </si>
  <si>
    <t xml:space="preserve">SIP-T31P</t>
  </si>
  <si>
    <t xml:space="preserve">Téléphonie SIP (LAN 3 et LAN 4)</t>
  </si>
  <si>
    <t xml:space="preserve">PoE, 2 ports gigabit</t>
  </si>
  <si>
    <t xml:space="preserve">Capteur MQTT (MQTTS)</t>
  </si>
  <si>
    <t xml:space="preserve">Milesight / Shelly</t>
  </si>
  <si>
    <t xml:space="preserve">Passerelle capteur MQTT TLS</t>
  </si>
  <si>
    <t xml:space="preserve">Publie en MQTT sur TLS (LAN 3)</t>
  </si>
  <si>
    <t xml:space="preserve">Modèle exact à choisir</t>
  </si>
  <si>
    <t xml:space="preserve">Baies et câblage</t>
  </si>
  <si>
    <t xml:space="preserve">Baie 19" 18U (local technique)</t>
  </si>
  <si>
    <t xml:space="preserve">Digitus ou équivalent</t>
  </si>
  <si>
    <t xml:space="preserve">Baie 18U 600 mm</t>
  </si>
  <si>
    <t xml:space="preserve">Héberge routeurs, switchs, serveurs</t>
  </si>
  <si>
    <t xml:space="preserve">À retirer si une baie existe déjà</t>
  </si>
  <si>
    <t xml:space="preserve">Coffret mural 19" 9U</t>
  </si>
  <si>
    <t xml:space="preserve">Coffret 9U</t>
  </si>
  <si>
    <t xml:space="preserve">Switchs des LAN 1 à 4</t>
  </si>
  <si>
    <t xml:space="preserve">À retirer si existant</t>
  </si>
  <si>
    <t xml:space="preserve">Panneau de brassage 24 ports Cat6</t>
  </si>
  <si>
    <t xml:space="preserve">24 ports RJ45 Cat6</t>
  </si>
  <si>
    <t xml:space="preserve">Brassage des liaisons</t>
  </si>
  <si>
    <t xml:space="preserve">Cordon de brassage RJ45 Cat6</t>
  </si>
  <si>
    <t xml:space="preserve">Générique</t>
  </si>
  <si>
    <t xml:space="preserve">0,5 à 2 m</t>
  </si>
  <si>
    <t xml:space="preserve">Liens switchs, routeurs, serveurs</t>
  </si>
  <si>
    <t xml:space="preserve">Bloc multiprises rackable (PDU)</t>
  </si>
  <si>
    <t xml:space="preserve">PDU 19" 8 prises</t>
  </si>
  <si>
    <t xml:space="preserve">Alimentation des baies</t>
  </si>
  <si>
    <t xml:space="preserve">Accessoires (passe-câbles, vis, étiquettes)</t>
  </si>
  <si>
    <t xml:space="preserve">Divers</t>
  </si>
  <si>
    <t xml:space="preserve">Forfait</t>
  </si>
  <si>
    <t xml:space="preserve">Finitions de baie</t>
  </si>
  <si>
    <t xml:space="preserve">Alimentation</t>
  </si>
  <si>
    <t xml:space="preserve">Onduleur rack 1500 VA</t>
  </si>
  <si>
    <t xml:space="preserve">APC</t>
  </si>
  <si>
    <t xml:space="preserve">Smart-UPS SMT1500RMI2U</t>
  </si>
  <si>
    <t xml:space="preserve">Protège serveurs et cœur de réseau</t>
  </si>
  <si>
    <t xml:space="preserve">Batteries à remplacer tous les 3 à 5 ans</t>
  </si>
  <si>
    <t xml:space="preserve">Onduleur 1000 VA</t>
  </si>
  <si>
    <t xml:space="preserve">Back-UPS BX1000MI</t>
  </si>
  <si>
    <t xml:space="preserve">Protège les switchs des LAN 1 à 4</t>
  </si>
  <si>
    <t xml:space="preserve">Couverture partielle (à compléter)</t>
  </si>
  <si>
    <t xml:space="preserve">Outillage</t>
  </si>
  <si>
    <t xml:space="preserve">Outillage réseau et PC de maintenance (lot)</t>
  </si>
  <si>
    <t xml:space="preserve">Lot</t>
  </si>
  <si>
    <t xml:space="preserve">Testeur de câbles, câbles console, outils</t>
  </si>
  <si>
    <t xml:space="preserve">Estimation globale</t>
  </si>
  <si>
    <t xml:space="preserve">TOTAL MATÉRIEL</t>
  </si>
  <si>
    <t xml:space="preserve">Sous-totaux par catégorie</t>
  </si>
  <si>
    <t xml:space="preserve">Logiciels et licences</t>
  </si>
  <si>
    <t xml:space="preserve">Logiciels de sécurité, supervision et sauvegarde : voir onglets Sécurité et Supervision. Jaune = option (quantité 0).</t>
  </si>
  <si>
    <t xml:space="preserve">Logiciel</t>
  </si>
  <si>
    <t xml:space="preserve">Éditeur</t>
  </si>
  <si>
    <t xml:space="preserve">Type de licence</t>
  </si>
  <si>
    <t xml:space="preserve">Durée</t>
  </si>
  <si>
    <t xml:space="preserve">Renouvellement annuel HT</t>
  </si>
  <si>
    <t xml:space="preserve">Fonction / utilité</t>
  </si>
  <si>
    <t xml:space="preserve">Système d'exploitation</t>
  </si>
  <si>
    <t xml:space="preserve">Windows Server 2022 Standard</t>
  </si>
  <si>
    <t xml:space="preserve">Microsoft</t>
  </si>
  <si>
    <t xml:space="preserve">Perpétuelle (OEM)</t>
  </si>
  <si>
    <t xml:space="preserve">Perpétuelle</t>
  </si>
  <si>
    <t xml:space="preserve">Serveur .1 : AD, DHCP, DNS, fichiers, impression</t>
  </si>
  <si>
    <t xml:space="preserve">Windows 11 Pro</t>
  </si>
  <si>
    <t xml:space="preserve">OEM (inclus avec le PC)</t>
  </si>
  <si>
    <t xml:space="preserve">Système des postes d'accueil, jonction au domaine AD</t>
  </si>
  <si>
    <t xml:space="preserve">Gratuit / inclus</t>
  </si>
  <si>
    <t xml:space="preserve">Debian 12 / Ubuntu Server 24.04 LTS</t>
  </si>
  <si>
    <t xml:space="preserve">Debian / Canonical</t>
  </si>
  <si>
    <t xml:space="preserve">Libre (GPL)</t>
  </si>
  <si>
    <t xml:space="preserve">Illimitée</t>
  </si>
  <si>
    <t xml:space="preserve">VM WEB/BDD, VM supervision, VM journaux, serveur MQTT</t>
  </si>
  <si>
    <t xml:space="preserve">FreePBX / Asterisk</t>
  </si>
  <si>
    <t xml:space="preserve">Sangoma (open source)</t>
  </si>
  <si>
    <t xml:space="preserve">Téléphonie SIP interne (serveur .4)</t>
  </si>
  <si>
    <t xml:space="preserve">Virtualisation</t>
  </si>
  <si>
    <t xml:space="preserve">Proxmox VE</t>
  </si>
  <si>
    <t xml:space="preserve">Proxmox Server Solutions</t>
  </si>
  <si>
    <t xml:space="preserve">Libre (AGPL)</t>
  </si>
  <si>
    <t xml:space="preserve">Hyperviseur sur le serveur .2 (VM web/BDD, Zabbix, Wazuh)</t>
  </si>
  <si>
    <t xml:space="preserve">Licences d'accès</t>
  </si>
  <si>
    <t xml:space="preserve">CAL utilisateur Windows Server 2022</t>
  </si>
  <si>
    <t xml:space="preserve">Licence d'accès (par utilisateur)</t>
  </si>
  <si>
    <t xml:space="preserve">Droit d'accès des utilisateurs à l'AD, aux fichiers et à l'impression</t>
  </si>
  <si>
    <t xml:space="preserve">Gestion des utilisateurs</t>
  </si>
  <si>
    <t xml:space="preserve">Active Directory Domain Services + GPO</t>
  </si>
  <si>
    <t xml:space="preserve">Inclus avec Windows Server</t>
  </si>
  <si>
    <t xml:space="preserve">Comptes, groupes, droits, stratégies de sécurité</t>
  </si>
  <si>
    <t xml:space="preserve">Gestion des équipements</t>
  </si>
  <si>
    <t xml:space="preserve">GLPI</t>
  </si>
  <si>
    <t xml:space="preserve">Teclib' / open source</t>
  </si>
  <si>
    <t xml:space="preserve">Inventaire des équipements et gestion des tickets</t>
  </si>
  <si>
    <t xml:space="preserve">UniFi Network Application</t>
  </si>
  <si>
    <t xml:space="preserve">Gratuit (contrôleur logiciel)</t>
  </si>
  <si>
    <t xml:space="preserve">Gestion centralisée des bornes Wi-Fi et du roaming</t>
  </si>
  <si>
    <t xml:space="preserve">Services applicatifs</t>
  </si>
  <si>
    <t xml:space="preserve">MariaDB</t>
  </si>
  <si>
    <t xml:space="preserve">MariaDB Foundation</t>
  </si>
  <si>
    <t xml:space="preserve">Base de données (port 3306)</t>
  </si>
  <si>
    <t xml:space="preserve">Application web du projet (port 3000)</t>
  </si>
  <si>
    <t xml:space="preserve">Projet (interne)</t>
  </si>
  <si>
    <t xml:space="preserve">Développement interne</t>
  </si>
  <si>
    <t xml:space="preserve">Application web de l'hôpital</t>
  </si>
  <si>
    <t xml:space="preserve">Eclipse Mosquitto</t>
  </si>
  <si>
    <t xml:space="preserve">Eclipse Foundation</t>
  </si>
  <si>
    <t xml:space="preserve">Libre (EPL)</t>
  </si>
  <si>
    <t xml:space="preserve">Broker MQTT / MQTTS (1883 / 8883)</t>
  </si>
  <si>
    <t xml:space="preserve">Node-RED</t>
  </si>
  <si>
    <t xml:space="preserve">OpenJS Foundation</t>
  </si>
  <si>
    <t xml:space="preserve">Libre (Apache 2.0)</t>
  </si>
  <si>
    <t xml:space="preserve">Flux de données IoT (1880)</t>
  </si>
  <si>
    <t xml:space="preserve">Bureautique</t>
  </si>
  <si>
    <t xml:space="preserve">LibreOffice</t>
  </si>
  <si>
    <t xml:space="preserve">The Document Foundation</t>
  </si>
  <si>
    <t xml:space="preserve">Libre (MPL)</t>
  </si>
  <si>
    <t xml:space="preserve">Bureautique des postes d'accueil</t>
  </si>
  <si>
    <t xml:space="preserve">TOTAL</t>
  </si>
  <si>
    <t xml:space="preserve">dont licences d'accès (CAL)</t>
  </si>
  <si>
    <t xml:space="preserve">dont logiciels</t>
  </si>
  <si>
    <t xml:space="preserve">Option : Microsoft 365 (SaaS) : voir onglet Abonnements</t>
  </si>
  <si>
    <t xml:space="preserve">Abonnements et services</t>
  </si>
  <si>
    <t xml:space="preserve">Coût mensuel = quantité × prix unitaire mensuel. Coût total = coût annuel × durée / 12. Jaune = option (quantité 0). Liens Internet : document fourni.</t>
  </si>
  <si>
    <t xml:space="preserve">Service</t>
  </si>
  <si>
    <t xml:space="preserve">Fournisseur</t>
  </si>
  <si>
    <t xml:space="preserve">Type d'abonnement</t>
  </si>
  <si>
    <t xml:space="preserve">Coût mensuel HT</t>
  </si>
  <si>
    <t xml:space="preserve">Coût annuel HT</t>
  </si>
  <si>
    <t xml:space="preserve">Durée (mois)</t>
  </si>
  <si>
    <t xml:space="preserve">Coût total HT</t>
  </si>
  <si>
    <t xml:space="preserve">Prix unitaire mensuel HT</t>
  </si>
  <si>
    <t xml:space="preserve">Conditions particulières</t>
  </si>
  <si>
    <t xml:space="preserve">Fibre dédiée FTTO (VLAN 10)</t>
  </si>
  <si>
    <t xml:space="preserve">Orange Business</t>
  </si>
  <si>
    <t xml:space="preserve">Fibre entreprise, GTR 4 h</t>
  </si>
  <si>
    <t xml:space="preserve">Débit symétrique, rétablissement en 4 h. Fourchette du document : 300 à 1 700 €/mois.</t>
  </si>
  <si>
    <t xml:space="preserve">Estimation (fourchette fournie)</t>
  </si>
  <si>
    <t xml:space="preserve">Fibre Free Pro (VLAN 20)</t>
  </si>
  <si>
    <t xml:space="preserve">Free Pro</t>
  </si>
  <si>
    <t xml:space="preserve">Freebox Pro, fibre mutualisée</t>
  </si>
  <si>
    <t xml:space="preserve">Sans garantie de rétablissement ; installation à confirmer auprès de Free.</t>
  </si>
  <si>
    <t xml:space="preserve">Document fourni</t>
  </si>
  <si>
    <t xml:space="preserve">5G data pro double SIM (VLAN 30)</t>
  </si>
  <si>
    <t xml:space="preserve">Opérateur mobile (à choisir)</t>
  </si>
  <si>
    <t xml:space="preserve">Forfait data pro 5G</t>
  </si>
  <si>
    <t xml:space="preserve">Lien de secours ; fourchette du document : 20 à 60 €/mois.</t>
  </si>
  <si>
    <t xml:space="preserve">Téléphonie externe (trunk SIP)</t>
  </si>
  <si>
    <t xml:space="preserve">Opérateur VoIP (à choisir)</t>
  </si>
  <si>
    <t xml:space="preserve">Trunk SIP, 2 canaux</t>
  </si>
  <si>
    <t xml:space="preserve">HYPOTHÈSE : mettre la quantité à 0 si la téléphonie reste interne.</t>
  </si>
  <si>
    <t xml:space="preserve">Sauvegarde externalisée 1 To</t>
  </si>
  <si>
    <t xml:space="preserve">Synology C2 ou Backblaze B2</t>
  </si>
  <si>
    <t xml:space="preserve">Stockage cloud</t>
  </si>
  <si>
    <t xml:space="preserve">Copie hors site (règle 3-2-1).</t>
  </si>
  <si>
    <t xml:space="preserve">Nom de domaine</t>
  </si>
  <si>
    <t xml:space="preserve">Registrar (à choisir)</t>
  </si>
  <si>
    <t xml:space="preserve">Annuel (15 € HT/an)</t>
  </si>
  <si>
    <t xml:space="preserve">Certificats TLS via Let's Encrypt (gratuit).</t>
  </si>
  <si>
    <t xml:space="preserve">Microsoft 365 (SaaS) – option</t>
  </si>
  <si>
    <t xml:space="preserve">Par utilisateur et par mois</t>
  </si>
  <si>
    <t xml:space="preserve">OPTION : mettre la quantité au nombre d'utilisateurs pour l'inclure.</t>
  </si>
  <si>
    <t xml:space="preserve">Sécurité</t>
  </si>
  <si>
    <t xml:space="preserve">Équipements et logiciels de sécurité. Jaune = option (quantité 0). Prix HT estimés.</t>
  </si>
  <si>
    <t xml:space="preserve">Élément</t>
  </si>
  <si>
    <t xml:space="preserve">Marque / Éditeur</t>
  </si>
  <si>
    <t xml:space="preserve">Nature</t>
  </si>
  <si>
    <t xml:space="preserve">Périodicité</t>
  </si>
  <si>
    <t xml:space="preserve">Total année 1 HT</t>
  </si>
  <si>
    <t xml:space="preserve">Récurrent annuel HT</t>
  </si>
  <si>
    <t xml:space="preserve">Rôle / remarques</t>
  </si>
  <si>
    <t xml:space="preserve">Pare-feu</t>
  </si>
  <si>
    <t xml:space="preserve">Pare-feu OPNsense (appliance)</t>
  </si>
  <si>
    <t xml:space="preserve">Deciso</t>
  </si>
  <si>
    <t xml:space="preserve">Une fois</t>
  </si>
  <si>
    <t xml:space="preserve">DEC740 : routage, IDS/IPS, VPN, Radius, portail captif ; bascule des 3 liens</t>
  </si>
  <si>
    <t xml:space="preserve">OPNsense Community Edition</t>
  </si>
  <si>
    <t xml:space="preserve">Deciso (open source)</t>
  </si>
  <si>
    <t xml:space="preserve">Pare-feu, Suricata (IDS/IPS), portail captif, plugin FreeRADIUS</t>
  </si>
  <si>
    <t xml:space="preserve">OPNsense Business Edition – option</t>
  </si>
  <si>
    <t xml:space="preserve">Par an</t>
  </si>
  <si>
    <t xml:space="preserve">OPTION : support et mises à jour commerciales ; prix à confirmer</t>
  </si>
  <si>
    <t xml:space="preserve">Segmentation réseau / VLAN</t>
  </si>
  <si>
    <t xml:space="preserve">VLAN et ACL (LAN 1 à 5 + VLAN WAN 10/20/30)</t>
  </si>
  <si>
    <t xml:space="preserve">Cisco / MikroTik / OPNsense</t>
  </si>
  <si>
    <t xml:space="preserve">Configuration</t>
  </si>
  <si>
    <t xml:space="preserve">Un VLAN par LAN du diagramme ; plan VLAN définitif à compléter</t>
  </si>
  <si>
    <t xml:space="preserve">VPN</t>
  </si>
  <si>
    <t xml:space="preserve">VPN IPsec / WireGuard (inclus OPNsense)</t>
  </si>
  <si>
    <t xml:space="preserve">Accès distant des administrateurs</t>
  </si>
  <si>
    <t xml:space="preserve">Contrôle d'accès</t>
  </si>
  <si>
    <t xml:space="preserve">802.1X / RADIUS (FreeRADIUS) et portail captif</t>
  </si>
  <si>
    <t xml:space="preserve">Deciso / FreeRADIUS</t>
  </si>
  <si>
    <t xml:space="preserve">Authentification des bornes et des invités</t>
  </si>
  <si>
    <t xml:space="preserve">Authentification</t>
  </si>
  <si>
    <t xml:space="preserve">Active Directory + GPO (inclus Windows Server)</t>
  </si>
  <si>
    <t xml:space="preserve">Comptes, droits, mots de passe, stratégies (coût dans Logiciels)</t>
  </si>
  <si>
    <t xml:space="preserve">Antivirus / EDR</t>
  </si>
  <si>
    <t xml:space="preserve">ESET PROTECT Entry (ou équivalent)</t>
  </si>
  <si>
    <t xml:space="preserve">ESET</t>
  </si>
  <si>
    <t xml:space="preserve">Antivirus/EDR serveurs et postes ; renouvellement annuel</t>
  </si>
  <si>
    <t xml:space="preserve">Sauvegarde</t>
  </si>
  <si>
    <t xml:space="preserve">NAS Synology DS224+</t>
  </si>
  <si>
    <t xml:space="preserve">Synology</t>
  </si>
  <si>
    <t xml:space="preserve">Cible de sauvegarde locale</t>
  </si>
  <si>
    <t xml:space="preserve">Disque NAS 6 To (RAID 1)</t>
  </si>
  <si>
    <t xml:space="preserve">Seagate IronWolf</t>
  </si>
  <si>
    <t xml:space="preserve">Stockage des sauvegardes</t>
  </si>
  <si>
    <t xml:space="preserve">Active Backup for Business</t>
  </si>
  <si>
    <t xml:space="preserve">Sauvegarde des serveurs et des postes, incluse avec le NAS</t>
  </si>
  <si>
    <t xml:space="preserve">Journalisation et détection</t>
  </si>
  <si>
    <t xml:space="preserve">Wazuh (SIEM / XDR open source)</t>
  </si>
  <si>
    <t xml:space="preserve">Wazuh</t>
  </si>
  <si>
    <t xml:space="preserve">Centralisation des journaux et détection d'incidents (VM sur serveur .2)</t>
  </si>
  <si>
    <t xml:space="preserve">Protection des données</t>
  </si>
  <si>
    <t xml:space="preserve">Chiffrement (BitLocker, TLS/MQTTS) et certificats Let's Encrypt</t>
  </si>
  <si>
    <t xml:space="preserve">Microsoft / Let's Encrypt</t>
  </si>
  <si>
    <t xml:space="preserve">Données au repos et en transit</t>
  </si>
  <si>
    <t xml:space="preserve">Options</t>
  </si>
  <si>
    <t xml:space="preserve">Audit de sécurité / test d'intrusion – option</t>
  </si>
  <si>
    <t xml:space="preserve">Prestataire (à choisir)</t>
  </si>
  <si>
    <t xml:space="preserve">OPTION : utile si le réseau traite des données de santé</t>
  </si>
  <si>
    <t xml:space="preserve">Assurance cyber – option</t>
  </si>
  <si>
    <t xml:space="preserve">Assureur (à choisir)</t>
  </si>
  <si>
    <t xml:space="preserve">OPTION : fourchette indicative 500 à 2 000 €/an</t>
  </si>
  <si>
    <t xml:space="preserve">Supervision</t>
  </si>
  <si>
    <t xml:space="preserve">Supervision, alertes, journaux et performances. Prix HT estimés.</t>
  </si>
  <si>
    <t xml:space="preserve">Supervision réseau et serveurs</t>
  </si>
  <si>
    <t xml:space="preserve">Zabbix 7.0 LTS (SNMP + agents)</t>
  </si>
  <si>
    <t xml:space="preserve">Zabbix (open source)</t>
  </si>
  <si>
    <t xml:space="preserve">VM sur le serveur .2 : supervision routeurs, switchs, bornes, serveurs</t>
  </si>
  <si>
    <t xml:space="preserve">Surveillance des équipements</t>
  </si>
  <si>
    <t xml:space="preserve">Sondes SNMP / ICMP sur les équipements réseau</t>
  </si>
  <si>
    <t xml:space="preserve">Zabbix</t>
  </si>
  <si>
    <t xml:space="preserve">Inclus dans Zabbix</t>
  </si>
  <si>
    <t xml:space="preserve">Alertes</t>
  </si>
  <si>
    <t xml:space="preserve">Alertes Zabbix par e-mail / messagerie</t>
  </si>
  <si>
    <t xml:space="preserve">Déclencheurs sur panne de lien, équipement ou service</t>
  </si>
  <si>
    <t xml:space="preserve">Centralisation des journaux</t>
  </si>
  <si>
    <t xml:space="preserve">Syslog vers Wazuh</t>
  </si>
  <si>
    <t xml:space="preserve">Voir onglet Sécurité (coût déjà compté)</t>
  </si>
  <si>
    <t xml:space="preserve">Gestion des performances</t>
  </si>
  <si>
    <t xml:space="preserve">Grafana OSS</t>
  </si>
  <si>
    <t xml:space="preserve">Grafana Labs (open source)</t>
  </si>
  <si>
    <t xml:space="preserve">Tableaux de bord de performance alimentés par Zabbix</t>
  </si>
  <si>
    <t xml:space="preserve">Capacité d'hébergement</t>
  </si>
  <si>
    <t xml:space="preserve">Extension mémoire serveur .2 (16 → 32 Go ECC)</t>
  </si>
  <si>
    <t xml:space="preserve">Héberge les VM Zabbix et Wazuh à côté de la VM WEB/BDD</t>
  </si>
  <si>
    <t xml:space="preserve">Maintenance</t>
  </si>
  <si>
    <t xml:space="preserve">Contrats, garanties, support et stock de remplacement. Jaune = option (quantité 0).</t>
  </si>
  <si>
    <t xml:space="preserve">Support constructeur</t>
  </si>
  <si>
    <t xml:space="preserve">Dell ProSupport Next Business Day, 3 ans (serveurs T150)</t>
  </si>
  <si>
    <t xml:space="preserve">Intervention J+1 ; renouvellement au bout de 3 ans</t>
  </si>
  <si>
    <t xml:space="preserve">Garantie</t>
  </si>
  <si>
    <t xml:space="preserve">Garantie Cisco CBS250/350 (limitée à vie, incluse)</t>
  </si>
  <si>
    <t xml:space="preserve">Incluse à l'achat</t>
  </si>
  <si>
    <t xml:space="preserve">Garanties constructeur MikroTik, TP-Link, Ubiquiti, Yealink, Deciso</t>
  </si>
  <si>
    <t xml:space="preserve">Incluses ; durées à confirmer auprès de chaque fabricant</t>
  </si>
  <si>
    <t xml:space="preserve">Contrat de maintenance / infogérance de base</t>
  </si>
  <si>
    <t xml:space="preserve">Estimation ; astreinte et interventions à définir</t>
  </si>
  <si>
    <t xml:space="preserve">Maintenance logicielle</t>
  </si>
  <si>
    <t xml:space="preserve">Mises à jour (WSUS inclus Windows Server, apt, OPNsense)</t>
  </si>
  <si>
    <t xml:space="preserve">Processus interne, fenêtres de maintenance planifiées</t>
  </si>
  <si>
    <t xml:space="preserve">Remplacement du matériel</t>
  </si>
  <si>
    <t xml:space="preserve">Switch CBS250-24PP-4G de secours</t>
  </si>
  <si>
    <t xml:space="preserve">Stock de remplacement immédiat</t>
  </si>
  <si>
    <t xml:space="preserve">Routeur RB5009 de secours</t>
  </si>
  <si>
    <t xml:space="preserve">SSD de secours pour serveurs</t>
  </si>
  <si>
    <t xml:space="preserve">Remplacement rapide d'un disque du RAID 1</t>
  </si>
  <si>
    <t xml:space="preserve">Abonnement Proxmox VE (support) – option</t>
  </si>
  <si>
    <t xml:space="preserve">OPTION : prix à confirmer</t>
  </si>
  <si>
    <t xml:space="preserve">Bâtiment existant : câblage et génie civil intérieur déjà faits. Génie civil extérieur exclu.</t>
  </si>
  <si>
    <t xml:space="preserve">Type</t>
  </si>
  <si>
    <t xml:space="preserve">Unité</t>
  </si>
  <si>
    <t xml:space="preserve">Tarif unitaire HT</t>
  </si>
  <si>
    <t xml:space="preserve">Remarque</t>
  </si>
  <si>
    <t xml:space="preserve">Montage physique des équipements</t>
  </si>
  <si>
    <t xml:space="preserve">Main d'œuvre</t>
  </si>
  <si>
    <t xml:space="preserve">jours</t>
  </si>
  <si>
    <t xml:space="preserve">Fixation en baie, brassage, étiquetage</t>
  </si>
  <si>
    <t xml:space="preserve">Configuration des équipements</t>
  </si>
  <si>
    <t xml:space="preserve">Pare-feu, routeurs OSPF/VRRP, switchs, Wi-Fi, serveurs, postes, imprimantes</t>
  </si>
  <si>
    <t xml:space="preserve">Supervision, sauvegarde et sécurité</t>
  </si>
  <si>
    <t xml:space="preserve">Zabbix, Wazuh, Active Backup, EDR</t>
  </si>
  <si>
    <t xml:space="preserve">Gestion de projet et recette</t>
  </si>
  <si>
    <t xml:space="preserve">Coordination, documentation, tests finaux</t>
  </si>
  <si>
    <t xml:space="preserve">Formation du personnel</t>
  </si>
  <si>
    <t xml:space="preserve">Prestation</t>
  </si>
  <si>
    <t xml:space="preserve">forfait</t>
  </si>
  <si>
    <t xml:space="preserve">Prise en main du portail captif, de la téléphonie et des procédures de panne</t>
  </si>
  <si>
    <t xml:space="preserve">Frais d'installation des liens Internet</t>
  </si>
  <si>
    <t xml:space="preserve">Opérateurs</t>
  </si>
  <si>
    <t xml:space="preserve">Fourchette du document fourni : 0 à 3 500 €</t>
  </si>
  <si>
    <t xml:space="preserve">TOTAL INSTALLATION</t>
  </si>
  <si>
    <t xml:space="preserve">dont main d'œuvre (jours facturés)</t>
  </si>
  <si>
    <t xml:space="preserve">Planning estimé</t>
  </si>
  <si>
    <t xml:space="preserve">Durées en jours ouvrés. Configuration = charge (jours-homme) divisée par l'effectif défini dans Hypothèses.</t>
  </si>
  <si>
    <t xml:space="preserve">N°</t>
  </si>
  <si>
    <t xml:space="preserve">Phase</t>
  </si>
  <si>
    <t xml:space="preserve">Durée min (j)</t>
  </si>
  <si>
    <t xml:space="preserve">Durée max (j)</t>
  </si>
  <si>
    <t xml:space="preserve">Début min (j)</t>
  </si>
  <si>
    <t xml:space="preserve">Fin min (j)</t>
  </si>
  <si>
    <t xml:space="preserve">Début max (j)</t>
  </si>
  <si>
    <t xml:space="preserve">Fin max (j)</t>
  </si>
  <si>
    <t xml:space="preserve">Fin min (sem)</t>
  </si>
  <si>
    <t xml:space="preserve">Fin max (sem)</t>
  </si>
  <si>
    <t xml:space="preserve">Étude et commandes (plan IP/VLAN, devis, commandes)</t>
  </si>
  <si>
    <t xml:space="preserve">Commander les liens en priorité.</t>
  </si>
  <si>
    <t xml:space="preserve">Livraison du matériel</t>
  </si>
  <si>
    <t xml:space="preserve">Selon le stock du revendeur.</t>
  </si>
  <si>
    <t xml:space="preserve">Raccordement des liens Internet</t>
  </si>
  <si>
    <t xml:space="preserve">5G en quelques jours, Free 2 à 6 sem., Orange FTTO 4 à 12 sem.</t>
  </si>
  <si>
    <t xml:space="preserve">Montage physique</t>
  </si>
  <si>
    <t xml:space="preserve">Dès réception du matériel.</t>
  </si>
  <si>
    <t xml:space="preserve">Configuration (réseau, serveurs, supervision, sauvegarde)</t>
  </si>
  <si>
    <t xml:space="preserve">Charge en jours-homme / effectif.</t>
  </si>
  <si>
    <t xml:space="preserve">Tests et recette</t>
  </si>
  <si>
    <t xml:space="preserve">Bascule des liens, roaming, VRRP, sauvegardes.</t>
  </si>
  <si>
    <t xml:space="preserve">Mise en service interne et prise en main</t>
  </si>
  <si>
    <t xml:space="preserve">Réseau interne sur 5G/Free si Orange pas prêt.</t>
  </si>
  <si>
    <t xml:space="preserve">Mise en service complète (tous les liens prêts)</t>
  </si>
  <si>
    <t xml:space="preserve">Dépend surtout du délai de l'Orange FTTO.</t>
  </si>
  <si>
    <t xml:space="preserve">Hypothèses du projet</t>
  </si>
  <si>
    <t xml:space="preserve">Cellules bleues sur fond jaune = à modifier. Tout le classeur se recalcule. Montants HT.</t>
  </si>
  <si>
    <t xml:space="preserve">Paramètre</t>
  </si>
  <si>
    <t xml:space="preserve">Valeur</t>
  </si>
  <si>
    <t xml:space="preserve">Source / remarque</t>
  </si>
  <si>
    <t xml:space="preserve">Taux normal France (modifiable)</t>
  </si>
  <si>
    <t xml:space="preserve">Nombre d'utilisateurs</t>
  </si>
  <si>
    <t xml:space="preserve">HYPOTHÈSE à confirmer (détermine le nombre de CAL Windows Server)</t>
  </si>
  <si>
    <t xml:space="preserve">Effectif de l'équipe technique</t>
  </si>
  <si>
    <t xml:space="preserve">Personnes (1 = projet seul)</t>
  </si>
  <si>
    <t xml:space="preserve">Jours ouvrés par semaine</t>
  </si>
  <si>
    <t xml:space="preserve">Tarif journalier ingénieur réseau</t>
  </si>
  <si>
    <t xml:space="preserve">€ HT/jour, estimation courante en France</t>
  </si>
  <si>
    <t xml:space="preserve">Tarif journalier technicien</t>
  </si>
  <si>
    <t xml:space="preserve">Appliqués au matériel + installation</t>
  </si>
  <si>
    <t xml:space="preserve">Abonnement Orange FTTO (mensuel)</t>
  </si>
  <si>
    <t xml:space="preserve">ESTIMATION dans la fourchette 300 à 1 700 €/mois du document fourni ; à confirmer par devis</t>
  </si>
  <si>
    <t xml:space="preserve">ESTIMATION : milieu de la fourchette 0 à 3 500 € du document fourni (génie civil extérieur exclu)</t>
  </si>
  <si>
    <t xml:space="preserve">À COMPLÉTER (le diagramme prévoit 2 PC)</t>
  </si>
  <si>
    <t xml:space="preserve">Serveurs protégés par EDR</t>
  </si>
  <si>
    <t xml:space="preserve">Les 4 serveurs du diagramme</t>
  </si>
  <si>
    <t xml:space="preserve">Postes protégés par EDR (total)</t>
  </si>
  <si>
    <t xml:space="preserve">Serveurs + postes d'accueil + postes supplémentaires</t>
  </si>
  <si>
    <t xml:space="preserve">Hypothèses et éléments à compléter</t>
  </si>
  <si>
    <t xml:space="preserve">• Périmètre : bâtiment existant, câblage et génie civil intérieur déjà réalisés (non comptés) ; génie civil extérieur exclu.</t>
  </si>
  <si>
    <t xml:space="preserve">• Architecture : le diagramme fourni est la référence ; 4 serveurs physiques + 1 NAS de sauvegarde (hypothèse). Supervision et journaux en VM sur le serveur .2 (hyperviseur Proxmox).</t>
  </si>
  <si>
    <t xml:space="preserve">• Pare-feu : OPNsense (Deciso DEC740) comme dans le diagramme ; le PDF des liens cite un Stormshield (écart à trancher).</t>
  </si>
  <si>
    <t xml:space="preserve">• Imprimantes : 2 imprimantes laser réseau ajoutées à la demande ; emplacement à définir ; impression via le serveur Windows (.1).</t>
  </si>
  <si>
    <t xml:space="preserve">• Tous les prix sont des ESTIMATIONS HT (2025-2026) à confirmer par devis, sauf les liens Internet issus du document fourni (fourchettes).</t>
  </si>
  <si>
    <t xml:space="preserve">• Budget « première année » = achats + installation + 12 mois d'abonnements/renouvellements. Les coûts récurrents sont isolés dans la Synthèse.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</si>
</sst>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-#,##0&quot; €&quot;;\-"/>
    <numFmt numFmtId="166" formatCode="0.0%"/>
    <numFmt numFmtId="167" formatCode="0.0"/>
    <numFmt numFmtId="168" formatCode="#,##0.00&quot; €&quot;;\-#,##0.00&quot; €&quot;;\-"/>
    <numFmt numFmtId="169" formatCode="General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Matériel!G33</f>
        <v>12475</v>
      </c>
      <c r="C5" s="6" t="n">
        <f aca="false">IF($B$14=0,0,B5/$B$14)</f>
        <v>0.234503501104375</v>
      </c>
      <c r="D5" s="4" t="s">
        <v>7</v>
      </c>
    </row>
    <row r="6" customFormat="false" ht="15" hidden="false" customHeight="false" outlineLevel="0" collapsed="false">
      <c r="A6" s="4" t="s">
        <v>8</v>
      </c>
      <c r="B6" s="5" t="n">
        <f aca="false">'Logiciels et licences'!H21</f>
        <v>1000</v>
      </c>
      <c r="C6" s="6" t="n">
        <f aca="false">IF($B$14=0,0,B6/$B$14)</f>
        <v>0.0187978758400301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f aca="false">'Logiciels et licences'!H20</f>
        <v>2400</v>
      </c>
      <c r="C7" s="6" t="n">
        <f aca="false">IF($B$14=0,0,B7/$B$14)</f>
        <v>0.0451149020160722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f aca="false">Abonnements!G12</f>
        <v>8535</v>
      </c>
      <c r="C8" s="6" t="n">
        <f aca="false">IF($B$14=0,0,B8/$B$14)</f>
        <v>0.160439870294657</v>
      </c>
      <c r="D8" s="4" t="s">
        <v>13</v>
      </c>
    </row>
    <row r="9" customFormat="false" ht="15" hidden="false" customHeight="false" outlineLevel="0" collapsed="false">
      <c r="A9" s="4" t="s">
        <v>14</v>
      </c>
      <c r="B9" s="5" t="n">
        <f aca="false">Sécurité!H20</f>
        <v>1800</v>
      </c>
      <c r="C9" s="6" t="n">
        <f aca="false">IF($B$14=0,0,B9/$B$14)</f>
        <v>0.0338361765120541</v>
      </c>
      <c r="D9" s="4" t="s">
        <v>15</v>
      </c>
    </row>
    <row r="10" customFormat="false" ht="15" hidden="false" customHeight="false" outlineLevel="0" collapsed="false">
      <c r="A10" s="4" t="s">
        <v>16</v>
      </c>
      <c r="B10" s="5" t="n">
        <f aca="false">Supervision!H11</f>
        <v>130</v>
      </c>
      <c r="C10" s="6" t="n">
        <f aca="false">IF($B$14=0,0,B10/$B$14)</f>
        <v>0.00244372385920391</v>
      </c>
      <c r="D10" s="4" t="s">
        <v>17</v>
      </c>
    </row>
    <row r="11" customFormat="false" ht="15" hidden="false" customHeight="false" outlineLevel="0" collapsed="false">
      <c r="A11" s="4" t="s">
        <v>18</v>
      </c>
      <c r="B11" s="5" t="n">
        <f aca="false">Maintenance!H14</f>
        <v>2290</v>
      </c>
      <c r="C11" s="6" t="n">
        <f aca="false">IF($B$14=0,0,B11/$B$14)</f>
        <v>0.0430471356736689</v>
      </c>
      <c r="D11" s="4" t="s">
        <v>19</v>
      </c>
    </row>
    <row r="12" customFormat="false" ht="15" hidden="false" customHeight="false" outlineLevel="0" collapsed="false">
      <c r="A12" s="4" t="s">
        <v>20</v>
      </c>
      <c r="B12" s="5" t="n">
        <f aca="false">Installation!F11</f>
        <v>21200</v>
      </c>
      <c r="C12" s="6" t="n">
        <f aca="false">IF($B$14=0,0,B12/$B$14)</f>
        <v>0.398514967808638</v>
      </c>
      <c r="D12" s="4" t="s">
        <v>21</v>
      </c>
    </row>
    <row r="13" customFormat="false" ht="15" hidden="false" customHeight="false" outlineLevel="0" collapsed="false">
      <c r="A13" s="4" t="s">
        <v>22</v>
      </c>
      <c r="B13" s="5" t="n">
        <f aca="false">Hypothèses!$B$11*(B5+B12)</f>
        <v>3367.5</v>
      </c>
      <c r="C13" s="6" t="n">
        <f aca="false">IF($B$14=0,0,B13/$B$14)</f>
        <v>0.0633018468913013</v>
      </c>
      <c r="D13" s="4" t="s">
        <v>23</v>
      </c>
    </row>
    <row r="14" customFormat="false" ht="15" hidden="false" customHeight="false" outlineLevel="0" collapsed="false">
      <c r="A14" s="7" t="s">
        <v>24</v>
      </c>
      <c r="B14" s="8" t="n">
        <f aca="false">SUM(B5:B13)</f>
        <v>53197.5</v>
      </c>
      <c r="C14" s="9" t="n">
        <f aca="false">IF($B$14=0,0,B14/$B$14)</f>
        <v>1</v>
      </c>
      <c r="D14" s="7"/>
    </row>
    <row r="15" customFormat="false" ht="15" hidden="false" customHeight="false" outlineLevel="0" collapsed="false">
      <c r="A15" s="4" t="s">
        <v>25</v>
      </c>
      <c r="B15" s="5" t="n">
        <f aca="false">B14*Hypothèses!$B$5</f>
        <v>10639.5</v>
      </c>
      <c r="C15" s="10"/>
      <c r="D15" s="4" t="s">
        <v>26</v>
      </c>
    </row>
    <row r="16" customFormat="false" ht="15" hidden="false" customHeight="false" outlineLevel="0" collapsed="false">
      <c r="A16" s="7" t="s">
        <v>27</v>
      </c>
      <c r="B16" s="8" t="n">
        <f aca="false">B14+B15</f>
        <v>63837</v>
      </c>
      <c r="C16" s="11"/>
      <c r="D16" s="7"/>
    </row>
    <row r="18" customFormat="false" ht="15" hidden="false" customHeight="false" outlineLevel="0" collapsed="false">
      <c r="A18" s="12" t="s">
        <v>28</v>
      </c>
      <c r="B18" s="12"/>
      <c r="C18" s="12"/>
      <c r="D18" s="12"/>
    </row>
    <row r="19" customFormat="false" ht="15" hidden="false" customHeight="false" outlineLevel="0" collapsed="false">
      <c r="A19" s="4" t="s">
        <v>29</v>
      </c>
      <c r="B19" s="5" t="n">
        <f aca="false">'Logiciels et licences'!I19</f>
        <v>0</v>
      </c>
      <c r="C19" s="10"/>
      <c r="D19" s="4"/>
    </row>
    <row r="20" customFormat="false" ht="15" hidden="false" customHeight="false" outlineLevel="0" collapsed="false">
      <c r="A20" s="4" t="s">
        <v>30</v>
      </c>
      <c r="B20" s="5" t="n">
        <f aca="false">Abonnements!E12</f>
        <v>8535</v>
      </c>
      <c r="C20" s="10"/>
      <c r="D20" s="4"/>
    </row>
    <row r="21" customFormat="false" ht="15" hidden="false" customHeight="false" outlineLevel="0" collapsed="false">
      <c r="A21" s="4" t="s">
        <v>31</v>
      </c>
      <c r="B21" s="5" t="n">
        <f aca="false">Sécurité!I20</f>
        <v>270</v>
      </c>
      <c r="C21" s="10"/>
      <c r="D21" s="4"/>
    </row>
    <row r="22" customFormat="false" ht="15" hidden="false" customHeight="false" outlineLevel="0" collapsed="false">
      <c r="A22" s="4" t="s">
        <v>32</v>
      </c>
      <c r="B22" s="5" t="n">
        <f aca="false">Supervision!I11</f>
        <v>0</v>
      </c>
      <c r="C22" s="10"/>
      <c r="D22" s="4"/>
    </row>
    <row r="23" customFormat="false" ht="15" hidden="false" customHeight="false" outlineLevel="0" collapsed="false">
      <c r="A23" s="4" t="s">
        <v>33</v>
      </c>
      <c r="B23" s="5" t="n">
        <f aca="false">Maintenance!I14</f>
        <v>1000</v>
      </c>
      <c r="C23" s="10"/>
      <c r="D23" s="4"/>
    </row>
    <row r="24" customFormat="false" ht="15" hidden="false" customHeight="false" outlineLevel="0" collapsed="false">
      <c r="A24" s="7" t="s">
        <v>34</v>
      </c>
      <c r="B24" s="8" t="n">
        <f aca="false">SUM(B19:B23)</f>
        <v>9805</v>
      </c>
      <c r="C24" s="11"/>
      <c r="D24" s="7"/>
    </row>
    <row r="25" customFormat="false" ht="15" hidden="false" customHeight="false" outlineLevel="0" collapsed="false">
      <c r="A25" s="7" t="s">
        <v>35</v>
      </c>
      <c r="B25" s="8" t="n">
        <f aca="false">B24*(1+Hypothèses!$B$5)</f>
        <v>11766</v>
      </c>
      <c r="C25" s="11"/>
      <c r="D25" s="7"/>
    </row>
    <row r="27" customFormat="false" ht="15" hidden="false" customHeight="false" outlineLevel="0" collapsed="false">
      <c r="A27" s="12" t="s">
        <v>36</v>
      </c>
      <c r="B27" s="12"/>
      <c r="C27" s="12"/>
      <c r="D27" s="12"/>
    </row>
    <row r="28" customFormat="false" ht="15" hidden="false" customHeight="false" outlineLevel="0" collapsed="false">
      <c r="A28" s="4" t="s">
        <v>37</v>
      </c>
      <c r="B28" s="5" t="n">
        <f aca="false">Matériel!K33</f>
        <v>2335.92857142857</v>
      </c>
      <c r="C28" s="10"/>
      <c r="D28" s="4" t="s">
        <v>38</v>
      </c>
    </row>
    <row r="29" customFormat="false" ht="15" hidden="false" customHeight="false" outlineLevel="0" collapsed="false">
      <c r="A29" s="4" t="s">
        <v>39</v>
      </c>
      <c r="B29" s="13" t="n">
        <f aca="false">B14+2*B24</f>
        <v>72807.5</v>
      </c>
      <c r="C29" s="10"/>
      <c r="D29" s="4" t="s">
        <v>40</v>
      </c>
    </row>
    <row r="30" customFormat="false" ht="15" hidden="false" customHeight="false" outlineLevel="0" collapsed="false">
      <c r="A30" s="4" t="s">
        <v>41</v>
      </c>
      <c r="B30" s="5" t="n">
        <f aca="false">B29*(1+Hypothèses!$B$5)</f>
        <v>87369</v>
      </c>
      <c r="C30" s="10"/>
      <c r="D30" s="4"/>
    </row>
    <row r="31" customFormat="false" ht="15" hidden="false" customHeight="false" outlineLevel="0" collapsed="false">
      <c r="A31" s="4" t="s">
        <v>42</v>
      </c>
      <c r="B31" s="14" t="n">
        <f aca="false">Planning!J11</f>
        <v>9.2</v>
      </c>
      <c r="C31" s="10"/>
      <c r="D31" s="4" t="s">
        <v>43</v>
      </c>
    </row>
    <row r="32" customFormat="false" ht="15" hidden="false" customHeight="false" outlineLevel="0" collapsed="false">
      <c r="A32" s="4" t="s">
        <v>44</v>
      </c>
      <c r="B32" s="14" t="n">
        <f aca="false">Planning!J12</f>
        <v>12</v>
      </c>
      <c r="C32" s="10"/>
      <c r="D32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10" min="9" style="0" width="48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45.75" hidden="false" customHeight="tru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</row>
    <row r="5" customFormat="false" ht="30" hidden="false" customHeight="tru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15" t="n">
        <v>6</v>
      </c>
      <c r="F5" s="16" t="n">
        <v>220</v>
      </c>
      <c r="G5" s="17" t="n">
        <f aca="false">E5*F5</f>
        <v>1320</v>
      </c>
      <c r="H5" s="15" t="n">
        <v>5</v>
      </c>
      <c r="I5" s="4" t="s">
        <v>64</v>
      </c>
      <c r="J5" s="4" t="s">
        <v>65</v>
      </c>
      <c r="K5" s="17" t="n">
        <f aca="false">G5/H5</f>
        <v>264</v>
      </c>
      <c r="L5" s="4" t="s">
        <v>66</v>
      </c>
    </row>
    <row r="6" customFormat="false" ht="30" hidden="false" customHeight="true" outlineLevel="0" collapsed="false">
      <c r="A6" s="4" t="s">
        <v>60</v>
      </c>
      <c r="B6" s="4" t="s">
        <v>67</v>
      </c>
      <c r="C6" s="4" t="s">
        <v>68</v>
      </c>
      <c r="D6" s="4" t="s">
        <v>69</v>
      </c>
      <c r="E6" s="15" t="n">
        <v>1</v>
      </c>
      <c r="F6" s="16" t="n">
        <v>100</v>
      </c>
      <c r="G6" s="17" t="n">
        <f aca="false">E6*F6</f>
        <v>100</v>
      </c>
      <c r="H6" s="15" t="n">
        <v>5</v>
      </c>
      <c r="I6" s="4" t="s">
        <v>70</v>
      </c>
      <c r="J6" s="4" t="s">
        <v>71</v>
      </c>
      <c r="K6" s="17" t="n">
        <f aca="false">G6/H6</f>
        <v>20</v>
      </c>
      <c r="L6" s="4" t="s">
        <v>66</v>
      </c>
    </row>
    <row r="7" customFormat="false" ht="30" hidden="false" customHeight="true" outlineLevel="0" collapsed="false">
      <c r="A7" s="4" t="s">
        <v>60</v>
      </c>
      <c r="B7" s="4" t="s">
        <v>72</v>
      </c>
      <c r="C7" s="4" t="s">
        <v>73</v>
      </c>
      <c r="D7" s="4" t="s">
        <v>74</v>
      </c>
      <c r="E7" s="15" t="n">
        <v>1</v>
      </c>
      <c r="F7" s="16" t="n">
        <v>450</v>
      </c>
      <c r="G7" s="17" t="n">
        <f aca="false">E7*F7</f>
        <v>450</v>
      </c>
      <c r="H7" s="15" t="n">
        <v>7</v>
      </c>
      <c r="I7" s="4" t="s">
        <v>75</v>
      </c>
      <c r="J7" s="4" t="s">
        <v>76</v>
      </c>
      <c r="K7" s="17" t="n">
        <f aca="false">G7/H7</f>
        <v>64.2857142857143</v>
      </c>
      <c r="L7" s="4" t="s">
        <v>66</v>
      </c>
    </row>
    <row r="8" customFormat="false" ht="30" hidden="false" customHeight="true" outlineLevel="0" collapsed="false">
      <c r="A8" s="4" t="s">
        <v>60</v>
      </c>
      <c r="B8" s="4" t="s">
        <v>77</v>
      </c>
      <c r="C8" s="4" t="s">
        <v>73</v>
      </c>
      <c r="D8" s="4" t="s">
        <v>74</v>
      </c>
      <c r="E8" s="15" t="n">
        <v>1</v>
      </c>
      <c r="F8" s="16" t="n">
        <v>450</v>
      </c>
      <c r="G8" s="17" t="n">
        <f aca="false">E8*F8</f>
        <v>450</v>
      </c>
      <c r="H8" s="15" t="n">
        <v>7</v>
      </c>
      <c r="I8" s="4" t="s">
        <v>78</v>
      </c>
      <c r="J8" s="4" t="s">
        <v>79</v>
      </c>
      <c r="K8" s="17" t="n">
        <f aca="false">G8/H8</f>
        <v>64.2857142857143</v>
      </c>
      <c r="L8" s="4" t="s">
        <v>66</v>
      </c>
    </row>
    <row r="9" customFormat="false" ht="30" hidden="false" customHeight="true" outlineLevel="0" collapsed="false">
      <c r="A9" s="4" t="s">
        <v>60</v>
      </c>
      <c r="B9" s="4" t="s">
        <v>80</v>
      </c>
      <c r="C9" s="4" t="s">
        <v>73</v>
      </c>
      <c r="D9" s="4" t="s">
        <v>81</v>
      </c>
      <c r="E9" s="15" t="n">
        <v>3</v>
      </c>
      <c r="F9" s="16" t="n">
        <v>330</v>
      </c>
      <c r="G9" s="17" t="n">
        <f aca="false">E9*F9</f>
        <v>990</v>
      </c>
      <c r="H9" s="15" t="n">
        <v>7</v>
      </c>
      <c r="I9" s="4" t="s">
        <v>82</v>
      </c>
      <c r="J9" s="4" t="s">
        <v>83</v>
      </c>
      <c r="K9" s="17" t="n">
        <f aca="false">G9/H9</f>
        <v>141.428571428571</v>
      </c>
      <c r="L9" s="4" t="s">
        <v>66</v>
      </c>
    </row>
    <row r="10" customFormat="false" ht="30" hidden="false" customHeight="true" outlineLevel="0" collapsed="false">
      <c r="A10" s="4" t="s">
        <v>60</v>
      </c>
      <c r="B10" s="4" t="s">
        <v>84</v>
      </c>
      <c r="C10" s="4" t="s">
        <v>73</v>
      </c>
      <c r="D10" s="4" t="s">
        <v>85</v>
      </c>
      <c r="E10" s="15" t="n">
        <v>1</v>
      </c>
      <c r="F10" s="16" t="n">
        <v>150</v>
      </c>
      <c r="G10" s="17" t="n">
        <f aca="false">E10*F10</f>
        <v>150</v>
      </c>
      <c r="H10" s="15" t="n">
        <v>7</v>
      </c>
      <c r="I10" s="4" t="s">
        <v>86</v>
      </c>
      <c r="J10" s="4" t="s">
        <v>87</v>
      </c>
      <c r="K10" s="17" t="n">
        <f aca="false">G10/H10</f>
        <v>21.4285714285714</v>
      </c>
      <c r="L10" s="4" t="s">
        <v>66</v>
      </c>
    </row>
    <row r="11" customFormat="false" ht="30" hidden="false" customHeight="true" outlineLevel="0" collapsed="false">
      <c r="A11" s="4" t="s">
        <v>60</v>
      </c>
      <c r="B11" s="4" t="s">
        <v>88</v>
      </c>
      <c r="C11" s="4" t="s">
        <v>89</v>
      </c>
      <c r="D11" s="4" t="s">
        <v>90</v>
      </c>
      <c r="E11" s="15" t="n">
        <v>2</v>
      </c>
      <c r="F11" s="16" t="n">
        <v>160</v>
      </c>
      <c r="G11" s="17" t="n">
        <f aca="false">E11*F11</f>
        <v>320</v>
      </c>
      <c r="H11" s="15" t="n">
        <v>5</v>
      </c>
      <c r="I11" s="4" t="s">
        <v>91</v>
      </c>
      <c r="J11" s="4" t="s">
        <v>92</v>
      </c>
      <c r="K11" s="17" t="n">
        <f aca="false">G11/H11</f>
        <v>64</v>
      </c>
      <c r="L11" s="4" t="s">
        <v>66</v>
      </c>
    </row>
    <row r="12" customFormat="false" ht="30" hidden="false" customHeight="true" outlineLevel="0" collapsed="false">
      <c r="A12" s="4" t="s">
        <v>60</v>
      </c>
      <c r="B12" s="4" t="s">
        <v>93</v>
      </c>
      <c r="C12" s="4" t="s">
        <v>94</v>
      </c>
      <c r="D12" s="4" t="s">
        <v>95</v>
      </c>
      <c r="E12" s="15" t="n">
        <v>4</v>
      </c>
      <c r="F12" s="16" t="n">
        <v>40</v>
      </c>
      <c r="G12" s="17" t="n">
        <f aca="false">E12*F12</f>
        <v>160</v>
      </c>
      <c r="H12" s="15" t="n">
        <v>5</v>
      </c>
      <c r="I12" s="4" t="s">
        <v>96</v>
      </c>
      <c r="J12" s="4" t="s">
        <v>97</v>
      </c>
      <c r="K12" s="17" t="n">
        <f aca="false">G12/H12</f>
        <v>32</v>
      </c>
      <c r="L12" s="4" t="s">
        <v>66</v>
      </c>
    </row>
    <row r="13" customFormat="false" ht="30" hidden="false" customHeight="true" outlineLevel="0" collapsed="false">
      <c r="A13" s="4" t="s">
        <v>60</v>
      </c>
      <c r="B13" s="4" t="s">
        <v>98</v>
      </c>
      <c r="C13" s="4" t="s">
        <v>99</v>
      </c>
      <c r="D13" s="4" t="s">
        <v>100</v>
      </c>
      <c r="E13" s="15" t="n">
        <v>1</v>
      </c>
      <c r="F13" s="16" t="n">
        <v>400</v>
      </c>
      <c r="G13" s="17" t="n">
        <f aca="false">E13*F13</f>
        <v>400</v>
      </c>
      <c r="H13" s="15" t="n">
        <v>5</v>
      </c>
      <c r="I13" s="4" t="s">
        <v>101</v>
      </c>
      <c r="J13" s="4" t="s">
        <v>102</v>
      </c>
      <c r="K13" s="17" t="n">
        <f aca="false">G13/H13</f>
        <v>80</v>
      </c>
      <c r="L13" s="4" t="s">
        <v>66</v>
      </c>
    </row>
    <row r="14" customFormat="false" ht="30" hidden="false" customHeight="true" outlineLevel="0" collapsed="false">
      <c r="A14" s="4" t="s">
        <v>103</v>
      </c>
      <c r="B14" s="4" t="s">
        <v>104</v>
      </c>
      <c r="C14" s="4" t="s">
        <v>105</v>
      </c>
      <c r="D14" s="4" t="s">
        <v>106</v>
      </c>
      <c r="E14" s="15" t="n">
        <v>1</v>
      </c>
      <c r="F14" s="16" t="n">
        <v>750</v>
      </c>
      <c r="G14" s="17" t="n">
        <f aca="false">E14*F14</f>
        <v>750</v>
      </c>
      <c r="H14" s="15" t="n">
        <v>5</v>
      </c>
      <c r="I14" s="4" t="s">
        <v>107</v>
      </c>
      <c r="J14" s="4" t="s">
        <v>108</v>
      </c>
      <c r="K14" s="17" t="n">
        <f aca="false">G14/H14</f>
        <v>150</v>
      </c>
      <c r="L14" s="4" t="s">
        <v>66</v>
      </c>
    </row>
    <row r="15" customFormat="false" ht="30" hidden="false" customHeight="true" outlineLevel="0" collapsed="false">
      <c r="A15" s="4" t="s">
        <v>103</v>
      </c>
      <c r="B15" s="4" t="s">
        <v>109</v>
      </c>
      <c r="C15" s="4" t="s">
        <v>105</v>
      </c>
      <c r="D15" s="4" t="s">
        <v>110</v>
      </c>
      <c r="E15" s="15" t="n">
        <v>1</v>
      </c>
      <c r="F15" s="16" t="n">
        <v>1000</v>
      </c>
      <c r="G15" s="17" t="n">
        <f aca="false">E15*F15</f>
        <v>1000</v>
      </c>
      <c r="H15" s="15" t="n">
        <v>5</v>
      </c>
      <c r="I15" s="4" t="s">
        <v>111</v>
      </c>
      <c r="J15" s="4" t="s">
        <v>112</v>
      </c>
      <c r="K15" s="17" t="n">
        <f aca="false">G15/H15</f>
        <v>200</v>
      </c>
      <c r="L15" s="4" t="s">
        <v>66</v>
      </c>
    </row>
    <row r="16" customFormat="false" ht="30" hidden="false" customHeight="true" outlineLevel="0" collapsed="false">
      <c r="A16" s="4" t="s">
        <v>103</v>
      </c>
      <c r="B16" s="4" t="s">
        <v>113</v>
      </c>
      <c r="C16" s="4" t="s">
        <v>114</v>
      </c>
      <c r="D16" s="4" t="s">
        <v>115</v>
      </c>
      <c r="E16" s="15" t="n">
        <v>1</v>
      </c>
      <c r="F16" s="16" t="n">
        <v>450</v>
      </c>
      <c r="G16" s="17" t="n">
        <f aca="false">E16*F16</f>
        <v>450</v>
      </c>
      <c r="H16" s="15" t="n">
        <v>4</v>
      </c>
      <c r="I16" s="4" t="s">
        <v>116</v>
      </c>
      <c r="J16" s="4" t="s">
        <v>117</v>
      </c>
      <c r="K16" s="17" t="n">
        <f aca="false">G16/H16</f>
        <v>112.5</v>
      </c>
      <c r="L16" s="4" t="s">
        <v>66</v>
      </c>
    </row>
    <row r="17" customFormat="false" ht="30" hidden="false" customHeight="true" outlineLevel="0" collapsed="false">
      <c r="A17" s="4" t="s">
        <v>103</v>
      </c>
      <c r="B17" s="4" t="s">
        <v>118</v>
      </c>
      <c r="C17" s="4" t="s">
        <v>105</v>
      </c>
      <c r="D17" s="4" t="s">
        <v>119</v>
      </c>
      <c r="E17" s="15" t="n">
        <v>1</v>
      </c>
      <c r="F17" s="16" t="n">
        <v>450</v>
      </c>
      <c r="G17" s="17" t="n">
        <f aca="false">E17*F17</f>
        <v>450</v>
      </c>
      <c r="H17" s="15" t="n">
        <v>4</v>
      </c>
      <c r="I17" s="4" t="s">
        <v>120</v>
      </c>
      <c r="J17" s="4" t="s">
        <v>121</v>
      </c>
      <c r="K17" s="17" t="n">
        <f aca="false">G17/H17</f>
        <v>112.5</v>
      </c>
      <c r="L17" s="4" t="s">
        <v>66</v>
      </c>
    </row>
    <row r="18" customFormat="false" ht="30" hidden="false" customHeight="true" outlineLevel="0" collapsed="false">
      <c r="A18" s="4" t="s">
        <v>122</v>
      </c>
      <c r="B18" s="4" t="s">
        <v>123</v>
      </c>
      <c r="C18" s="4" t="s">
        <v>105</v>
      </c>
      <c r="D18" s="4" t="s">
        <v>124</v>
      </c>
      <c r="E18" s="15" t="n">
        <v>2</v>
      </c>
      <c r="F18" s="16" t="n">
        <v>550</v>
      </c>
      <c r="G18" s="17" t="n">
        <f aca="false">E18*F18</f>
        <v>1100</v>
      </c>
      <c r="H18" s="15" t="n">
        <v>4</v>
      </c>
      <c r="I18" s="4" t="s">
        <v>125</v>
      </c>
      <c r="J18" s="4" t="s">
        <v>126</v>
      </c>
      <c r="K18" s="17" t="n">
        <f aca="false">G18/H18</f>
        <v>275</v>
      </c>
      <c r="L18" s="4" t="s">
        <v>66</v>
      </c>
    </row>
    <row r="19" customFormat="false" ht="30" hidden="false" customHeight="true" outlineLevel="0" collapsed="false">
      <c r="A19" s="4" t="s">
        <v>122</v>
      </c>
      <c r="B19" s="4" t="s">
        <v>127</v>
      </c>
      <c r="C19" s="4" t="s">
        <v>105</v>
      </c>
      <c r="D19" s="4" t="s">
        <v>128</v>
      </c>
      <c r="E19" s="15" t="n">
        <v>2</v>
      </c>
      <c r="F19" s="16" t="n">
        <v>140</v>
      </c>
      <c r="G19" s="17" t="n">
        <f aca="false">E19*F19</f>
        <v>280</v>
      </c>
      <c r="H19" s="15" t="n">
        <v>5</v>
      </c>
      <c r="I19" s="4" t="s">
        <v>129</v>
      </c>
      <c r="J19" s="4"/>
      <c r="K19" s="17" t="n">
        <f aca="false">G19/H19</f>
        <v>56</v>
      </c>
      <c r="L19" s="4" t="s">
        <v>66</v>
      </c>
    </row>
    <row r="20" customFormat="false" ht="30" hidden="false" customHeight="true" outlineLevel="0" collapsed="false">
      <c r="A20" s="4" t="s">
        <v>122</v>
      </c>
      <c r="B20" s="4" t="s">
        <v>130</v>
      </c>
      <c r="C20" s="4" t="s">
        <v>105</v>
      </c>
      <c r="D20" s="4" t="s">
        <v>124</v>
      </c>
      <c r="E20" s="18" t="n">
        <f aca="false">Hypothèses!$B$14</f>
        <v>0</v>
      </c>
      <c r="F20" s="16" t="n">
        <v>550</v>
      </c>
      <c r="G20" s="17" t="n">
        <f aca="false">E20*F20</f>
        <v>0</v>
      </c>
      <c r="H20" s="15" t="n">
        <v>4</v>
      </c>
      <c r="I20" s="4" t="s">
        <v>131</v>
      </c>
      <c r="J20" s="4" t="s">
        <v>132</v>
      </c>
      <c r="K20" s="17" t="n">
        <f aca="false">G20/H20</f>
        <v>0</v>
      </c>
      <c r="L20" s="4" t="s">
        <v>66</v>
      </c>
    </row>
    <row r="21" customFormat="false" ht="30" hidden="false" customHeight="true" outlineLevel="0" collapsed="false">
      <c r="A21" s="4" t="s">
        <v>122</v>
      </c>
      <c r="B21" s="4" t="s">
        <v>133</v>
      </c>
      <c r="C21" s="4" t="s">
        <v>134</v>
      </c>
      <c r="D21" s="4" t="s">
        <v>135</v>
      </c>
      <c r="E21" s="15" t="n">
        <v>2</v>
      </c>
      <c r="F21" s="16" t="n">
        <v>280</v>
      </c>
      <c r="G21" s="17" t="n">
        <f aca="false">E21*F21</f>
        <v>560</v>
      </c>
      <c r="H21" s="15" t="n">
        <v>5</v>
      </c>
      <c r="I21" s="4" t="s">
        <v>136</v>
      </c>
      <c r="J21" s="4" t="s">
        <v>137</v>
      </c>
      <c r="K21" s="17" t="n">
        <f aca="false">G21/H21</f>
        <v>112</v>
      </c>
      <c r="L21" s="4" t="s">
        <v>66</v>
      </c>
    </row>
    <row r="22" customFormat="false" ht="30" hidden="false" customHeight="true" outlineLevel="0" collapsed="false">
      <c r="A22" s="4" t="s">
        <v>122</v>
      </c>
      <c r="B22" s="4" t="s">
        <v>138</v>
      </c>
      <c r="C22" s="4" t="s">
        <v>139</v>
      </c>
      <c r="D22" s="4" t="s">
        <v>140</v>
      </c>
      <c r="E22" s="15" t="n">
        <v>2</v>
      </c>
      <c r="F22" s="16" t="n">
        <v>50</v>
      </c>
      <c r="G22" s="17" t="n">
        <f aca="false">E22*F22</f>
        <v>100</v>
      </c>
      <c r="H22" s="15" t="n">
        <v>4</v>
      </c>
      <c r="I22" s="4" t="s">
        <v>141</v>
      </c>
      <c r="J22" s="4" t="s">
        <v>142</v>
      </c>
      <c r="K22" s="17" t="n">
        <f aca="false">G22/H22</f>
        <v>25</v>
      </c>
      <c r="L22" s="4" t="s">
        <v>66</v>
      </c>
    </row>
    <row r="23" customFormat="false" ht="30" hidden="false" customHeight="true" outlineLevel="0" collapsed="false">
      <c r="A23" s="4" t="s">
        <v>122</v>
      </c>
      <c r="B23" s="4" t="s">
        <v>143</v>
      </c>
      <c r="C23" s="4" t="s">
        <v>144</v>
      </c>
      <c r="D23" s="4" t="s">
        <v>145</v>
      </c>
      <c r="E23" s="15" t="n">
        <v>1</v>
      </c>
      <c r="F23" s="16" t="n">
        <v>80</v>
      </c>
      <c r="G23" s="17" t="n">
        <f aca="false">E23*F23</f>
        <v>80</v>
      </c>
      <c r="H23" s="15" t="n">
        <v>5</v>
      </c>
      <c r="I23" s="4" t="s">
        <v>146</v>
      </c>
      <c r="J23" s="4" t="s">
        <v>147</v>
      </c>
      <c r="K23" s="17" t="n">
        <f aca="false">G23/H23</f>
        <v>16</v>
      </c>
      <c r="L23" s="4" t="s">
        <v>66</v>
      </c>
    </row>
    <row r="24" customFormat="false" ht="30" hidden="false" customHeight="true" outlineLevel="0" collapsed="false">
      <c r="A24" s="4" t="s">
        <v>148</v>
      </c>
      <c r="B24" s="4" t="s">
        <v>149</v>
      </c>
      <c r="C24" s="4" t="s">
        <v>150</v>
      </c>
      <c r="D24" s="4" t="s">
        <v>151</v>
      </c>
      <c r="E24" s="15" t="n">
        <v>1</v>
      </c>
      <c r="F24" s="16" t="n">
        <v>450</v>
      </c>
      <c r="G24" s="17" t="n">
        <f aca="false">E24*F24</f>
        <v>450</v>
      </c>
      <c r="H24" s="15" t="n">
        <v>10</v>
      </c>
      <c r="I24" s="4" t="s">
        <v>152</v>
      </c>
      <c r="J24" s="4" t="s">
        <v>153</v>
      </c>
      <c r="K24" s="17" t="n">
        <f aca="false">G24/H24</f>
        <v>45</v>
      </c>
      <c r="L24" s="4" t="s">
        <v>66</v>
      </c>
    </row>
    <row r="25" customFormat="false" ht="30" hidden="false" customHeight="true" outlineLevel="0" collapsed="false">
      <c r="A25" s="4" t="s">
        <v>148</v>
      </c>
      <c r="B25" s="4" t="s">
        <v>154</v>
      </c>
      <c r="C25" s="4" t="s">
        <v>150</v>
      </c>
      <c r="D25" s="4" t="s">
        <v>155</v>
      </c>
      <c r="E25" s="15" t="n">
        <v>4</v>
      </c>
      <c r="F25" s="16" t="n">
        <v>150</v>
      </c>
      <c r="G25" s="17" t="n">
        <f aca="false">E25*F25</f>
        <v>600</v>
      </c>
      <c r="H25" s="15" t="n">
        <v>10</v>
      </c>
      <c r="I25" s="4" t="s">
        <v>156</v>
      </c>
      <c r="J25" s="4" t="s">
        <v>157</v>
      </c>
      <c r="K25" s="17" t="n">
        <f aca="false">G25/H25</f>
        <v>60</v>
      </c>
      <c r="L25" s="4" t="s">
        <v>66</v>
      </c>
    </row>
    <row r="26" customFormat="false" ht="30" hidden="false" customHeight="true" outlineLevel="0" collapsed="false">
      <c r="A26" s="4" t="s">
        <v>148</v>
      </c>
      <c r="B26" s="4" t="s">
        <v>158</v>
      </c>
      <c r="C26" s="4" t="s">
        <v>150</v>
      </c>
      <c r="D26" s="4" t="s">
        <v>159</v>
      </c>
      <c r="E26" s="15" t="n">
        <v>5</v>
      </c>
      <c r="F26" s="16" t="n">
        <v>55</v>
      </c>
      <c r="G26" s="17" t="n">
        <f aca="false">E26*F26</f>
        <v>275</v>
      </c>
      <c r="H26" s="15" t="n">
        <v>10</v>
      </c>
      <c r="I26" s="4" t="s">
        <v>160</v>
      </c>
      <c r="J26" s="4"/>
      <c r="K26" s="17" t="n">
        <f aca="false">G26/H26</f>
        <v>27.5</v>
      </c>
      <c r="L26" s="4" t="s">
        <v>66</v>
      </c>
    </row>
    <row r="27" customFormat="false" ht="30" hidden="false" customHeight="true" outlineLevel="0" collapsed="false">
      <c r="A27" s="4" t="s">
        <v>148</v>
      </c>
      <c r="B27" s="4" t="s">
        <v>161</v>
      </c>
      <c r="C27" s="4" t="s">
        <v>162</v>
      </c>
      <c r="D27" s="4" t="s">
        <v>163</v>
      </c>
      <c r="E27" s="15" t="n">
        <v>60</v>
      </c>
      <c r="F27" s="16" t="n">
        <v>4</v>
      </c>
      <c r="G27" s="17" t="n">
        <f aca="false">E27*F27</f>
        <v>240</v>
      </c>
      <c r="H27" s="15" t="n">
        <v>5</v>
      </c>
      <c r="I27" s="4" t="s">
        <v>164</v>
      </c>
      <c r="J27" s="4"/>
      <c r="K27" s="17" t="n">
        <f aca="false">G27/H27</f>
        <v>48</v>
      </c>
      <c r="L27" s="4" t="s">
        <v>66</v>
      </c>
    </row>
    <row r="28" customFormat="false" ht="30" hidden="false" customHeight="true" outlineLevel="0" collapsed="false">
      <c r="A28" s="4" t="s">
        <v>148</v>
      </c>
      <c r="B28" s="4" t="s">
        <v>165</v>
      </c>
      <c r="C28" s="4" t="s">
        <v>162</v>
      </c>
      <c r="D28" s="4" t="s">
        <v>166</v>
      </c>
      <c r="E28" s="15" t="n">
        <v>5</v>
      </c>
      <c r="F28" s="16" t="n">
        <v>40</v>
      </c>
      <c r="G28" s="17" t="n">
        <f aca="false">E28*F28</f>
        <v>200</v>
      </c>
      <c r="H28" s="15" t="n">
        <v>8</v>
      </c>
      <c r="I28" s="4" t="s">
        <v>167</v>
      </c>
      <c r="J28" s="4"/>
      <c r="K28" s="17" t="n">
        <f aca="false">G28/H28</f>
        <v>25</v>
      </c>
      <c r="L28" s="4" t="s">
        <v>66</v>
      </c>
    </row>
    <row r="29" customFormat="false" ht="30" hidden="false" customHeight="true" outlineLevel="0" collapsed="false">
      <c r="A29" s="4" t="s">
        <v>148</v>
      </c>
      <c r="B29" s="4" t="s">
        <v>168</v>
      </c>
      <c r="C29" s="4" t="s">
        <v>169</v>
      </c>
      <c r="D29" s="4" t="s">
        <v>170</v>
      </c>
      <c r="E29" s="15" t="n">
        <v>1</v>
      </c>
      <c r="F29" s="16" t="n">
        <v>100</v>
      </c>
      <c r="G29" s="17" t="n">
        <f aca="false">E29*F29</f>
        <v>100</v>
      </c>
      <c r="H29" s="15" t="n">
        <v>5</v>
      </c>
      <c r="I29" s="4" t="s">
        <v>171</v>
      </c>
      <c r="J29" s="4"/>
      <c r="K29" s="17" t="n">
        <f aca="false">G29/H29</f>
        <v>20</v>
      </c>
      <c r="L29" s="4" t="s">
        <v>66</v>
      </c>
    </row>
    <row r="30" customFormat="false" ht="30" hidden="false" customHeight="true" outlineLevel="0" collapsed="false">
      <c r="A30" s="4" t="s">
        <v>172</v>
      </c>
      <c r="B30" s="4" t="s">
        <v>173</v>
      </c>
      <c r="C30" s="4" t="s">
        <v>174</v>
      </c>
      <c r="D30" s="4" t="s">
        <v>175</v>
      </c>
      <c r="E30" s="15" t="n">
        <v>1</v>
      </c>
      <c r="F30" s="16" t="n">
        <v>650</v>
      </c>
      <c r="G30" s="17" t="n">
        <f aca="false">E30*F30</f>
        <v>650</v>
      </c>
      <c r="H30" s="15" t="n">
        <v>5</v>
      </c>
      <c r="I30" s="4" t="s">
        <v>176</v>
      </c>
      <c r="J30" s="4" t="s">
        <v>177</v>
      </c>
      <c r="K30" s="17" t="n">
        <f aca="false">G30/H30</f>
        <v>130</v>
      </c>
      <c r="L30" s="4" t="s">
        <v>66</v>
      </c>
    </row>
    <row r="31" customFormat="false" ht="30" hidden="false" customHeight="true" outlineLevel="0" collapsed="false">
      <c r="A31" s="4" t="s">
        <v>172</v>
      </c>
      <c r="B31" s="4" t="s">
        <v>178</v>
      </c>
      <c r="C31" s="4" t="s">
        <v>174</v>
      </c>
      <c r="D31" s="4" t="s">
        <v>179</v>
      </c>
      <c r="E31" s="15" t="n">
        <v>3</v>
      </c>
      <c r="F31" s="16" t="n">
        <v>150</v>
      </c>
      <c r="G31" s="17" t="n">
        <f aca="false">E31*F31</f>
        <v>450</v>
      </c>
      <c r="H31" s="15" t="n">
        <v>5</v>
      </c>
      <c r="I31" s="4" t="s">
        <v>180</v>
      </c>
      <c r="J31" s="4" t="s">
        <v>181</v>
      </c>
      <c r="K31" s="17" t="n">
        <f aca="false">G31/H31</f>
        <v>90</v>
      </c>
      <c r="L31" s="4" t="s">
        <v>66</v>
      </c>
    </row>
    <row r="32" customFormat="false" ht="30" hidden="false" customHeight="true" outlineLevel="0" collapsed="false">
      <c r="A32" s="4" t="s">
        <v>182</v>
      </c>
      <c r="B32" s="4" t="s">
        <v>183</v>
      </c>
      <c r="C32" s="4" t="s">
        <v>169</v>
      </c>
      <c r="D32" s="4" t="s">
        <v>184</v>
      </c>
      <c r="E32" s="15" t="n">
        <v>1</v>
      </c>
      <c r="F32" s="16" t="n">
        <v>400</v>
      </c>
      <c r="G32" s="17" t="n">
        <f aca="false">E32*F32</f>
        <v>400</v>
      </c>
      <c r="H32" s="15" t="n">
        <v>5</v>
      </c>
      <c r="I32" s="4" t="s">
        <v>185</v>
      </c>
      <c r="J32" s="4" t="s">
        <v>186</v>
      </c>
      <c r="K32" s="17" t="n">
        <f aca="false">G32/H32</f>
        <v>80</v>
      </c>
      <c r="L32" s="4" t="s">
        <v>66</v>
      </c>
    </row>
    <row r="33" customFormat="false" ht="15" hidden="false" customHeight="false" outlineLevel="0" collapsed="false">
      <c r="A33" s="7" t="s">
        <v>187</v>
      </c>
      <c r="B33" s="11"/>
      <c r="C33" s="11"/>
      <c r="D33" s="11"/>
      <c r="E33" s="11"/>
      <c r="F33" s="11"/>
      <c r="G33" s="19" t="n">
        <f aca="false">SUM(G5:G32)</f>
        <v>12475</v>
      </c>
      <c r="H33" s="11"/>
      <c r="I33" s="11"/>
      <c r="J33" s="11"/>
      <c r="K33" s="19" t="n">
        <f aca="false">SUM(K5:K32)</f>
        <v>2335.92857142857</v>
      </c>
      <c r="L33" s="11"/>
    </row>
    <row r="35" customFormat="false" ht="21.75" hidden="false" customHeight="true" outlineLevel="0" collapsed="false">
      <c r="A35" s="3" t="s">
        <v>188</v>
      </c>
      <c r="B35" s="3"/>
      <c r="C35" s="3"/>
      <c r="D35" s="3"/>
      <c r="E35" s="3"/>
      <c r="F35" s="3"/>
      <c r="G35" s="3" t="s">
        <v>54</v>
      </c>
    </row>
    <row r="36" customFormat="false" ht="15" hidden="false" customHeight="false" outlineLevel="0" collapsed="false">
      <c r="A36" s="4" t="s">
        <v>60</v>
      </c>
      <c r="G36" s="17" t="n">
        <f aca="false">SUMIF($A$5:$A$32,A36,$G$5:$G$32)</f>
        <v>4340</v>
      </c>
    </row>
    <row r="37" customFormat="false" ht="15" hidden="false" customHeight="false" outlineLevel="0" collapsed="false">
      <c r="A37" s="4" t="s">
        <v>103</v>
      </c>
      <c r="G37" s="17" t="n">
        <f aca="false">SUMIF($A$5:$A$32,A37,$G$5:$G$32)</f>
        <v>2650</v>
      </c>
    </row>
    <row r="38" customFormat="false" ht="15" hidden="false" customHeight="false" outlineLevel="0" collapsed="false">
      <c r="A38" s="4" t="s">
        <v>122</v>
      </c>
      <c r="G38" s="17" t="n">
        <f aca="false">SUMIF($A$5:$A$32,A38,$G$5:$G$32)</f>
        <v>2120</v>
      </c>
    </row>
    <row r="39" customFormat="false" ht="15" hidden="false" customHeight="false" outlineLevel="0" collapsed="false">
      <c r="A39" s="4" t="s">
        <v>148</v>
      </c>
      <c r="G39" s="17" t="n">
        <f aca="false">SUMIF($A$5:$A$32,A39,$G$5:$G$32)</f>
        <v>1865</v>
      </c>
    </row>
    <row r="40" customFormat="false" ht="15" hidden="false" customHeight="false" outlineLevel="0" collapsed="false">
      <c r="A40" s="4" t="s">
        <v>172</v>
      </c>
      <c r="G40" s="17" t="n">
        <f aca="false">SUMIF($A$5:$A$32,A40,$G$5:$G$32)</f>
        <v>1100</v>
      </c>
    </row>
    <row r="41" customFormat="false" ht="15" hidden="false" customHeight="false" outlineLevel="0" collapsed="false">
      <c r="A41" s="4" t="s">
        <v>182</v>
      </c>
      <c r="G41" s="17" t="n">
        <f aca="false">SUMIF($A$5:$A$32,A41,$G$5:$G$32)</f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52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45.75" hidden="false" customHeight="true" outlineLevel="0" collapsed="false">
      <c r="A4" s="3" t="s">
        <v>48</v>
      </c>
      <c r="B4" s="3" t="s">
        <v>191</v>
      </c>
      <c r="C4" s="3" t="s">
        <v>192</v>
      </c>
      <c r="D4" s="3" t="s">
        <v>193</v>
      </c>
      <c r="E4" s="3" t="s">
        <v>52</v>
      </c>
      <c r="F4" s="3" t="s">
        <v>194</v>
      </c>
      <c r="G4" s="3" t="s">
        <v>53</v>
      </c>
      <c r="H4" s="3" t="s">
        <v>54</v>
      </c>
      <c r="I4" s="3" t="s">
        <v>195</v>
      </c>
      <c r="J4" s="3" t="s">
        <v>196</v>
      </c>
      <c r="K4" s="3" t="s">
        <v>59</v>
      </c>
    </row>
    <row r="5" customFormat="false" ht="30" hidden="false" customHeight="true" outlineLevel="0" collapsed="false">
      <c r="A5" s="4" t="s">
        <v>197</v>
      </c>
      <c r="B5" s="4" t="s">
        <v>198</v>
      </c>
      <c r="C5" s="4" t="s">
        <v>199</v>
      </c>
      <c r="D5" s="4" t="s">
        <v>200</v>
      </c>
      <c r="E5" s="15" t="n">
        <v>1</v>
      </c>
      <c r="F5" s="4" t="s">
        <v>201</v>
      </c>
      <c r="G5" s="16" t="n">
        <v>1000</v>
      </c>
      <c r="H5" s="17" t="n">
        <f aca="false">E5*G5</f>
        <v>1000</v>
      </c>
      <c r="I5" s="16" t="n">
        <v>0</v>
      </c>
      <c r="J5" s="4" t="s">
        <v>202</v>
      </c>
      <c r="K5" s="4" t="s">
        <v>66</v>
      </c>
    </row>
    <row r="6" customFormat="false" ht="30" hidden="false" customHeight="true" outlineLevel="0" collapsed="false">
      <c r="A6" s="4" t="s">
        <v>197</v>
      </c>
      <c r="B6" s="4" t="s">
        <v>203</v>
      </c>
      <c r="C6" s="4" t="s">
        <v>199</v>
      </c>
      <c r="D6" s="4" t="s">
        <v>204</v>
      </c>
      <c r="E6" s="20" t="n">
        <f aca="false">Matériel!E18</f>
        <v>2</v>
      </c>
      <c r="F6" s="4" t="s">
        <v>201</v>
      </c>
      <c r="G6" s="16" t="n">
        <v>0</v>
      </c>
      <c r="H6" s="17" t="n">
        <f aca="false">E6*G6</f>
        <v>0</v>
      </c>
      <c r="I6" s="16" t="n">
        <v>0</v>
      </c>
      <c r="J6" s="4" t="s">
        <v>205</v>
      </c>
      <c r="K6" s="4" t="s">
        <v>206</v>
      </c>
    </row>
    <row r="7" customFormat="false" ht="30" hidden="false" customHeight="true" outlineLevel="0" collapsed="false">
      <c r="A7" s="4" t="s">
        <v>197</v>
      </c>
      <c r="B7" s="4" t="s">
        <v>207</v>
      </c>
      <c r="C7" s="4" t="s">
        <v>208</v>
      </c>
      <c r="D7" s="4" t="s">
        <v>209</v>
      </c>
      <c r="E7" s="15" t="n">
        <v>4</v>
      </c>
      <c r="F7" s="4" t="s">
        <v>210</v>
      </c>
      <c r="G7" s="16" t="n">
        <v>0</v>
      </c>
      <c r="H7" s="17" t="n">
        <f aca="false">E7*G7</f>
        <v>0</v>
      </c>
      <c r="I7" s="16" t="n">
        <v>0</v>
      </c>
      <c r="J7" s="4" t="s">
        <v>211</v>
      </c>
      <c r="K7" s="4" t="s">
        <v>206</v>
      </c>
    </row>
    <row r="8" customFormat="false" ht="30" hidden="false" customHeight="true" outlineLevel="0" collapsed="false">
      <c r="A8" s="4" t="s">
        <v>197</v>
      </c>
      <c r="B8" s="4" t="s">
        <v>212</v>
      </c>
      <c r="C8" s="4" t="s">
        <v>213</v>
      </c>
      <c r="D8" s="4" t="s">
        <v>209</v>
      </c>
      <c r="E8" s="15" t="n">
        <v>1</v>
      </c>
      <c r="F8" s="4" t="s">
        <v>210</v>
      </c>
      <c r="G8" s="16" t="n">
        <v>0</v>
      </c>
      <c r="H8" s="17" t="n">
        <f aca="false">E8*G8</f>
        <v>0</v>
      </c>
      <c r="I8" s="16" t="n">
        <v>0</v>
      </c>
      <c r="J8" s="4" t="s">
        <v>214</v>
      </c>
      <c r="K8" s="4" t="s">
        <v>206</v>
      </c>
    </row>
    <row r="9" customFormat="false" ht="30" hidden="false" customHeight="true" outlineLevel="0" collapsed="false">
      <c r="A9" s="4" t="s">
        <v>215</v>
      </c>
      <c r="B9" s="4" t="s">
        <v>216</v>
      </c>
      <c r="C9" s="4" t="s">
        <v>217</v>
      </c>
      <c r="D9" s="4" t="s">
        <v>218</v>
      </c>
      <c r="E9" s="15" t="n">
        <v>1</v>
      </c>
      <c r="F9" s="4" t="s">
        <v>210</v>
      </c>
      <c r="G9" s="16" t="n">
        <v>0</v>
      </c>
      <c r="H9" s="17" t="n">
        <f aca="false">E9*G9</f>
        <v>0</v>
      </c>
      <c r="I9" s="16" t="n">
        <v>0</v>
      </c>
      <c r="J9" s="4" t="s">
        <v>219</v>
      </c>
      <c r="K9" s="4" t="s">
        <v>206</v>
      </c>
    </row>
    <row r="10" customFormat="false" ht="30" hidden="false" customHeight="true" outlineLevel="0" collapsed="false">
      <c r="A10" s="4" t="s">
        <v>220</v>
      </c>
      <c r="B10" s="4" t="s">
        <v>221</v>
      </c>
      <c r="C10" s="4" t="s">
        <v>199</v>
      </c>
      <c r="D10" s="4" t="s">
        <v>222</v>
      </c>
      <c r="E10" s="20" t="n">
        <f aca="false">Hypothèses!$B$6</f>
        <v>50</v>
      </c>
      <c r="F10" s="4" t="s">
        <v>201</v>
      </c>
      <c r="G10" s="16" t="n">
        <v>48</v>
      </c>
      <c r="H10" s="17" t="n">
        <f aca="false">E10*G10</f>
        <v>2400</v>
      </c>
      <c r="I10" s="16" t="n">
        <v>0</v>
      </c>
      <c r="J10" s="4" t="s">
        <v>223</v>
      </c>
      <c r="K10" s="4" t="s">
        <v>66</v>
      </c>
    </row>
    <row r="11" customFormat="false" ht="30" hidden="false" customHeight="true" outlineLevel="0" collapsed="false">
      <c r="A11" s="4" t="s">
        <v>224</v>
      </c>
      <c r="B11" s="4" t="s">
        <v>225</v>
      </c>
      <c r="C11" s="4" t="s">
        <v>199</v>
      </c>
      <c r="D11" s="4" t="s">
        <v>226</v>
      </c>
      <c r="E11" s="15" t="n">
        <v>1</v>
      </c>
      <c r="F11" s="4" t="s">
        <v>201</v>
      </c>
      <c r="G11" s="16" t="n">
        <v>0</v>
      </c>
      <c r="H11" s="17" t="n">
        <f aca="false">E11*G11</f>
        <v>0</v>
      </c>
      <c r="I11" s="16" t="n">
        <v>0</v>
      </c>
      <c r="J11" s="4" t="s">
        <v>227</v>
      </c>
      <c r="K11" s="4" t="s">
        <v>206</v>
      </c>
    </row>
    <row r="12" customFormat="false" ht="30" hidden="false" customHeight="true" outlineLevel="0" collapsed="false">
      <c r="A12" s="4" t="s">
        <v>228</v>
      </c>
      <c r="B12" s="4" t="s">
        <v>229</v>
      </c>
      <c r="C12" s="4" t="s">
        <v>230</v>
      </c>
      <c r="D12" s="4" t="s">
        <v>209</v>
      </c>
      <c r="E12" s="15" t="n">
        <v>1</v>
      </c>
      <c r="F12" s="4" t="s">
        <v>210</v>
      </c>
      <c r="G12" s="16" t="n">
        <v>0</v>
      </c>
      <c r="H12" s="17" t="n">
        <f aca="false">E12*G12</f>
        <v>0</v>
      </c>
      <c r="I12" s="16" t="n">
        <v>0</v>
      </c>
      <c r="J12" s="4" t="s">
        <v>231</v>
      </c>
      <c r="K12" s="4" t="s">
        <v>206</v>
      </c>
    </row>
    <row r="13" customFormat="false" ht="30" hidden="false" customHeight="true" outlineLevel="0" collapsed="false">
      <c r="A13" s="4" t="s">
        <v>228</v>
      </c>
      <c r="B13" s="4" t="s">
        <v>232</v>
      </c>
      <c r="C13" s="4" t="s">
        <v>89</v>
      </c>
      <c r="D13" s="4" t="s">
        <v>233</v>
      </c>
      <c r="E13" s="15" t="n">
        <v>1</v>
      </c>
      <c r="F13" s="4" t="s">
        <v>210</v>
      </c>
      <c r="G13" s="16" t="n">
        <v>0</v>
      </c>
      <c r="H13" s="17" t="n">
        <f aca="false">E13*G13</f>
        <v>0</v>
      </c>
      <c r="I13" s="16" t="n">
        <v>0</v>
      </c>
      <c r="J13" s="4" t="s">
        <v>234</v>
      </c>
      <c r="K13" s="4" t="s">
        <v>206</v>
      </c>
    </row>
    <row r="14" customFormat="false" ht="30" hidden="false" customHeight="true" outlineLevel="0" collapsed="false">
      <c r="A14" s="4" t="s">
        <v>235</v>
      </c>
      <c r="B14" s="4" t="s">
        <v>236</v>
      </c>
      <c r="C14" s="4" t="s">
        <v>237</v>
      </c>
      <c r="D14" s="4" t="s">
        <v>209</v>
      </c>
      <c r="E14" s="15" t="n">
        <v>1</v>
      </c>
      <c r="F14" s="4" t="s">
        <v>210</v>
      </c>
      <c r="G14" s="16" t="n">
        <v>0</v>
      </c>
      <c r="H14" s="17" t="n">
        <f aca="false">E14*G14</f>
        <v>0</v>
      </c>
      <c r="I14" s="16" t="n">
        <v>0</v>
      </c>
      <c r="J14" s="4" t="s">
        <v>238</v>
      </c>
      <c r="K14" s="4" t="s">
        <v>206</v>
      </c>
    </row>
    <row r="15" customFormat="false" ht="30" hidden="false" customHeight="true" outlineLevel="0" collapsed="false">
      <c r="A15" s="4" t="s">
        <v>235</v>
      </c>
      <c r="B15" s="4" t="s">
        <v>239</v>
      </c>
      <c r="C15" s="4" t="s">
        <v>240</v>
      </c>
      <c r="D15" s="4" t="s">
        <v>241</v>
      </c>
      <c r="E15" s="15" t="n">
        <v>1</v>
      </c>
      <c r="F15" s="4" t="s">
        <v>210</v>
      </c>
      <c r="G15" s="16" t="n">
        <v>0</v>
      </c>
      <c r="H15" s="17" t="n">
        <f aca="false">E15*G15</f>
        <v>0</v>
      </c>
      <c r="I15" s="16" t="n">
        <v>0</v>
      </c>
      <c r="J15" s="4" t="s">
        <v>242</v>
      </c>
      <c r="K15" s="4" t="s">
        <v>206</v>
      </c>
    </row>
    <row r="16" customFormat="false" ht="30" hidden="false" customHeight="true" outlineLevel="0" collapsed="false">
      <c r="A16" s="4" t="s">
        <v>235</v>
      </c>
      <c r="B16" s="4" t="s">
        <v>243</v>
      </c>
      <c r="C16" s="4" t="s">
        <v>244</v>
      </c>
      <c r="D16" s="4" t="s">
        <v>245</v>
      </c>
      <c r="E16" s="15" t="n">
        <v>1</v>
      </c>
      <c r="F16" s="4" t="s">
        <v>210</v>
      </c>
      <c r="G16" s="16" t="n">
        <v>0</v>
      </c>
      <c r="H16" s="17" t="n">
        <f aca="false">E16*G16</f>
        <v>0</v>
      </c>
      <c r="I16" s="16" t="n">
        <v>0</v>
      </c>
      <c r="J16" s="4" t="s">
        <v>246</v>
      </c>
      <c r="K16" s="4" t="s">
        <v>206</v>
      </c>
    </row>
    <row r="17" customFormat="false" ht="30" hidden="false" customHeight="true" outlineLevel="0" collapsed="false">
      <c r="A17" s="4" t="s">
        <v>235</v>
      </c>
      <c r="B17" s="4" t="s">
        <v>247</v>
      </c>
      <c r="C17" s="4" t="s">
        <v>248</v>
      </c>
      <c r="D17" s="4" t="s">
        <v>249</v>
      </c>
      <c r="E17" s="15" t="n">
        <v>1</v>
      </c>
      <c r="F17" s="4" t="s">
        <v>210</v>
      </c>
      <c r="G17" s="16" t="n">
        <v>0</v>
      </c>
      <c r="H17" s="17" t="n">
        <f aca="false">E17*G17</f>
        <v>0</v>
      </c>
      <c r="I17" s="16" t="n">
        <v>0</v>
      </c>
      <c r="J17" s="4" t="s">
        <v>250</v>
      </c>
      <c r="K17" s="4" t="s">
        <v>206</v>
      </c>
    </row>
    <row r="18" customFormat="false" ht="30" hidden="false" customHeight="true" outlineLevel="0" collapsed="false">
      <c r="A18" s="4" t="s">
        <v>251</v>
      </c>
      <c r="B18" s="4" t="s">
        <v>252</v>
      </c>
      <c r="C18" s="4" t="s">
        <v>253</v>
      </c>
      <c r="D18" s="4" t="s">
        <v>254</v>
      </c>
      <c r="E18" s="15" t="n">
        <v>2</v>
      </c>
      <c r="F18" s="4" t="s">
        <v>210</v>
      </c>
      <c r="G18" s="16" t="n">
        <v>0</v>
      </c>
      <c r="H18" s="17" t="n">
        <f aca="false">E18*G18</f>
        <v>0</v>
      </c>
      <c r="I18" s="16" t="n">
        <v>0</v>
      </c>
      <c r="J18" s="4" t="s">
        <v>255</v>
      </c>
      <c r="K18" s="4" t="s">
        <v>206</v>
      </c>
    </row>
    <row r="19" customFormat="false" ht="15" hidden="false" customHeight="false" outlineLevel="0" collapsed="false">
      <c r="A19" s="7" t="s">
        <v>256</v>
      </c>
      <c r="B19" s="11"/>
      <c r="C19" s="11"/>
      <c r="D19" s="11"/>
      <c r="E19" s="11"/>
      <c r="F19" s="11"/>
      <c r="G19" s="11"/>
      <c r="H19" s="19" t="n">
        <f aca="false">SUM(H5:H18)</f>
        <v>3400</v>
      </c>
      <c r="I19" s="19" t="n">
        <f aca="false">SUM(I5:I18)</f>
        <v>0</v>
      </c>
      <c r="J19" s="11"/>
      <c r="K19" s="11"/>
    </row>
    <row r="20" customFormat="false" ht="15" hidden="false" customHeight="false" outlineLevel="0" collapsed="false">
      <c r="A20" s="4" t="s">
        <v>257</v>
      </c>
      <c r="H20" s="17" t="n">
        <f aca="false">SUMIF($A$5:$A$18,"Licences d'accès",$H$5:$H$18)</f>
        <v>2400</v>
      </c>
    </row>
    <row r="21" customFormat="false" ht="15" hidden="false" customHeight="false" outlineLevel="0" collapsed="false">
      <c r="A21" s="4" t="s">
        <v>258</v>
      </c>
      <c r="H21" s="17" t="n">
        <f aca="false">H19-H20</f>
        <v>1000</v>
      </c>
    </row>
    <row r="22" customFormat="false" ht="35.05" hidden="false" customHeight="false" outlineLevel="0" collapsed="false">
      <c r="A22" s="4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60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45.75" hidden="false" customHeight="true" outlineLevel="0" collapsed="false">
      <c r="A4" s="3" t="s">
        <v>262</v>
      </c>
      <c r="B4" s="3" t="s">
        <v>263</v>
      </c>
      <c r="C4" s="3" t="s">
        <v>264</v>
      </c>
      <c r="D4" s="3" t="s">
        <v>265</v>
      </c>
      <c r="E4" s="3" t="s">
        <v>266</v>
      </c>
      <c r="F4" s="3" t="s">
        <v>267</v>
      </c>
      <c r="G4" s="3" t="s">
        <v>268</v>
      </c>
      <c r="H4" s="3" t="s">
        <v>52</v>
      </c>
      <c r="I4" s="3" t="s">
        <v>269</v>
      </c>
      <c r="J4" s="3" t="s">
        <v>270</v>
      </c>
      <c r="K4" s="3" t="s">
        <v>59</v>
      </c>
    </row>
    <row r="5" customFormat="false" ht="31.5" hidden="false" customHeight="true" outlineLevel="0" collapsed="false">
      <c r="A5" s="4" t="s">
        <v>271</v>
      </c>
      <c r="B5" s="4" t="s">
        <v>272</v>
      </c>
      <c r="C5" s="4" t="s">
        <v>273</v>
      </c>
      <c r="D5" s="17" t="n">
        <f aca="false">H5*I5</f>
        <v>600</v>
      </c>
      <c r="E5" s="17" t="n">
        <f aca="false">D5*12</f>
        <v>7200</v>
      </c>
      <c r="F5" s="15" t="n">
        <v>12</v>
      </c>
      <c r="G5" s="17" t="n">
        <f aca="false">E5*F5/12</f>
        <v>7200</v>
      </c>
      <c r="H5" s="15" t="n">
        <v>1</v>
      </c>
      <c r="I5" s="21" t="n">
        <f aca="false">Hypothèses!$B$12</f>
        <v>600</v>
      </c>
      <c r="J5" s="4" t="s">
        <v>274</v>
      </c>
      <c r="K5" s="4" t="s">
        <v>275</v>
      </c>
    </row>
    <row r="6" customFormat="false" ht="31.5" hidden="false" customHeight="true" outlineLevel="0" collapsed="false">
      <c r="A6" s="4" t="s">
        <v>276</v>
      </c>
      <c r="B6" s="4" t="s">
        <v>277</v>
      </c>
      <c r="C6" s="4" t="s">
        <v>278</v>
      </c>
      <c r="D6" s="17" t="n">
        <f aca="false">H6*I6</f>
        <v>40</v>
      </c>
      <c r="E6" s="17" t="n">
        <f aca="false">D6*12</f>
        <v>480</v>
      </c>
      <c r="F6" s="15" t="n">
        <v>12</v>
      </c>
      <c r="G6" s="17" t="n">
        <f aca="false">E6*F6/12</f>
        <v>480</v>
      </c>
      <c r="H6" s="15" t="n">
        <v>1</v>
      </c>
      <c r="I6" s="16" t="n">
        <v>40</v>
      </c>
      <c r="J6" s="4" t="s">
        <v>279</v>
      </c>
      <c r="K6" s="4" t="s">
        <v>280</v>
      </c>
    </row>
    <row r="7" customFormat="false" ht="31.5" hidden="false" customHeight="true" outlineLevel="0" collapsed="false">
      <c r="A7" s="4" t="s">
        <v>281</v>
      </c>
      <c r="B7" s="4" t="s">
        <v>282</v>
      </c>
      <c r="C7" s="4" t="s">
        <v>283</v>
      </c>
      <c r="D7" s="17" t="n">
        <f aca="false">H7*I7</f>
        <v>40</v>
      </c>
      <c r="E7" s="17" t="n">
        <f aca="false">D7*12</f>
        <v>480</v>
      </c>
      <c r="F7" s="15" t="n">
        <v>12</v>
      </c>
      <c r="G7" s="17" t="n">
        <f aca="false">E7*F7/12</f>
        <v>480</v>
      </c>
      <c r="H7" s="15" t="n">
        <v>1</v>
      </c>
      <c r="I7" s="16" t="n">
        <v>40</v>
      </c>
      <c r="J7" s="4" t="s">
        <v>284</v>
      </c>
      <c r="K7" s="4" t="s">
        <v>275</v>
      </c>
    </row>
    <row r="8" customFormat="false" ht="31.5" hidden="false" customHeight="true" outlineLevel="0" collapsed="false">
      <c r="A8" s="4" t="s">
        <v>285</v>
      </c>
      <c r="B8" s="4" t="s">
        <v>286</v>
      </c>
      <c r="C8" s="4" t="s">
        <v>287</v>
      </c>
      <c r="D8" s="17" t="n">
        <f aca="false">H8*I8</f>
        <v>20</v>
      </c>
      <c r="E8" s="17" t="n">
        <f aca="false">D8*12</f>
        <v>240</v>
      </c>
      <c r="F8" s="15" t="n">
        <v>12</v>
      </c>
      <c r="G8" s="17" t="n">
        <f aca="false">E8*F8/12</f>
        <v>240</v>
      </c>
      <c r="H8" s="15" t="n">
        <v>2</v>
      </c>
      <c r="I8" s="16" t="n">
        <v>10</v>
      </c>
      <c r="J8" s="4" t="s">
        <v>288</v>
      </c>
      <c r="K8" s="4" t="s">
        <v>66</v>
      </c>
    </row>
    <row r="9" customFormat="false" ht="31.5" hidden="false" customHeight="true" outlineLevel="0" collapsed="false">
      <c r="A9" s="4" t="s">
        <v>289</v>
      </c>
      <c r="B9" s="4" t="s">
        <v>290</v>
      </c>
      <c r="C9" s="4" t="s">
        <v>291</v>
      </c>
      <c r="D9" s="17" t="n">
        <f aca="false">H9*I9</f>
        <v>10</v>
      </c>
      <c r="E9" s="17" t="n">
        <f aca="false">D9*12</f>
        <v>120</v>
      </c>
      <c r="F9" s="15" t="n">
        <v>12</v>
      </c>
      <c r="G9" s="17" t="n">
        <f aca="false">E9*F9/12</f>
        <v>120</v>
      </c>
      <c r="H9" s="15" t="n">
        <v>1</v>
      </c>
      <c r="I9" s="16" t="n">
        <v>10</v>
      </c>
      <c r="J9" s="4" t="s">
        <v>292</v>
      </c>
      <c r="K9" s="4" t="s">
        <v>66</v>
      </c>
    </row>
    <row r="10" customFormat="false" ht="31.5" hidden="false" customHeight="true" outlineLevel="0" collapsed="false">
      <c r="A10" s="4" t="s">
        <v>293</v>
      </c>
      <c r="B10" s="4" t="s">
        <v>294</v>
      </c>
      <c r="C10" s="4" t="s">
        <v>295</v>
      </c>
      <c r="D10" s="17" t="n">
        <f aca="false">H10*I10</f>
        <v>1.25</v>
      </c>
      <c r="E10" s="17" t="n">
        <f aca="false">D10*12</f>
        <v>15</v>
      </c>
      <c r="F10" s="15" t="n">
        <v>12</v>
      </c>
      <c r="G10" s="17" t="n">
        <f aca="false">E10*F10/12</f>
        <v>15</v>
      </c>
      <c r="H10" s="15" t="n">
        <v>1</v>
      </c>
      <c r="I10" s="16" t="n">
        <v>1.25</v>
      </c>
      <c r="J10" s="4" t="s">
        <v>296</v>
      </c>
      <c r="K10" s="4" t="s">
        <v>66</v>
      </c>
    </row>
    <row r="11" customFormat="false" ht="31.5" hidden="false" customHeight="true" outlineLevel="0" collapsed="false">
      <c r="A11" s="4" t="s">
        <v>297</v>
      </c>
      <c r="B11" s="4" t="s">
        <v>199</v>
      </c>
      <c r="C11" s="4" t="s">
        <v>298</v>
      </c>
      <c r="D11" s="17" t="n">
        <f aca="false">H11*I11</f>
        <v>0</v>
      </c>
      <c r="E11" s="17" t="n">
        <f aca="false">D11*12</f>
        <v>0</v>
      </c>
      <c r="F11" s="15" t="n">
        <v>12</v>
      </c>
      <c r="G11" s="17" t="n">
        <f aca="false">E11*F11/12</f>
        <v>0</v>
      </c>
      <c r="H11" s="22" t="n">
        <v>0</v>
      </c>
      <c r="I11" s="16" t="n">
        <v>12.5</v>
      </c>
      <c r="J11" s="4" t="s">
        <v>299</v>
      </c>
      <c r="K11" s="4" t="s">
        <v>66</v>
      </c>
    </row>
    <row r="12" customFormat="false" ht="15" hidden="false" customHeight="false" outlineLevel="0" collapsed="false">
      <c r="A12" s="7" t="s">
        <v>256</v>
      </c>
      <c r="B12" s="11"/>
      <c r="C12" s="11"/>
      <c r="D12" s="19" t="n">
        <f aca="false">SUM(D5:D11)</f>
        <v>711.25</v>
      </c>
      <c r="E12" s="19" t="n">
        <f aca="false">SUM(E5:E11)</f>
        <v>8535</v>
      </c>
      <c r="F12" s="11"/>
      <c r="G12" s="19" t="n">
        <f aca="false">SUM(G5:G11)</f>
        <v>8535</v>
      </c>
      <c r="H12" s="11"/>
      <c r="I12" s="11"/>
      <c r="J12" s="11"/>
      <c r="K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6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4" customFormat="false" ht="45.75" hidden="false" customHeight="true" outlineLevel="0" collapsed="false">
      <c r="A4" s="3" t="s">
        <v>48</v>
      </c>
      <c r="B4" s="3" t="s">
        <v>302</v>
      </c>
      <c r="C4" s="3" t="s">
        <v>303</v>
      </c>
      <c r="D4" s="3" t="s">
        <v>304</v>
      </c>
      <c r="E4" s="3" t="s">
        <v>52</v>
      </c>
      <c r="F4" s="3" t="s">
        <v>53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59</v>
      </c>
    </row>
    <row r="5" customFormat="false" ht="31.5" hidden="false" customHeight="true" outlineLevel="0" collapsed="false">
      <c r="A5" s="4" t="s">
        <v>309</v>
      </c>
      <c r="B5" s="4" t="s">
        <v>310</v>
      </c>
      <c r="C5" s="4" t="s">
        <v>311</v>
      </c>
      <c r="D5" s="4" t="s">
        <v>46</v>
      </c>
      <c r="E5" s="15" t="n">
        <v>1</v>
      </c>
      <c r="F5" s="16" t="n">
        <v>900</v>
      </c>
      <c r="G5" s="4" t="s">
        <v>312</v>
      </c>
      <c r="H5" s="17" t="n">
        <f aca="false">E5*F5</f>
        <v>900</v>
      </c>
      <c r="I5" s="17" t="n">
        <f aca="false">IF(G5="Par an",E5*F5,0)</f>
        <v>0</v>
      </c>
      <c r="J5" s="4" t="s">
        <v>313</v>
      </c>
      <c r="K5" s="4" t="s">
        <v>66</v>
      </c>
    </row>
    <row r="6" customFormat="false" ht="31.5" hidden="false" customHeight="true" outlineLevel="0" collapsed="false">
      <c r="A6" s="4" t="s">
        <v>309</v>
      </c>
      <c r="B6" s="4" t="s">
        <v>314</v>
      </c>
      <c r="C6" s="4" t="s">
        <v>315</v>
      </c>
      <c r="D6" s="4" t="s">
        <v>191</v>
      </c>
      <c r="E6" s="15" t="n">
        <v>1</v>
      </c>
      <c r="F6" s="16" t="n">
        <v>0</v>
      </c>
      <c r="G6" s="4" t="s">
        <v>312</v>
      </c>
      <c r="H6" s="17" t="n">
        <f aca="false">E6*F6</f>
        <v>0</v>
      </c>
      <c r="I6" s="17" t="n">
        <f aca="false">IF(G6="Par an",E6*F6,0)</f>
        <v>0</v>
      </c>
      <c r="J6" s="4" t="s">
        <v>316</v>
      </c>
      <c r="K6" s="4" t="s">
        <v>206</v>
      </c>
    </row>
    <row r="7" customFormat="false" ht="31.5" hidden="false" customHeight="true" outlineLevel="0" collapsed="false">
      <c r="A7" s="4" t="s">
        <v>309</v>
      </c>
      <c r="B7" s="4" t="s">
        <v>317</v>
      </c>
      <c r="C7" s="4" t="s">
        <v>311</v>
      </c>
      <c r="D7" s="4" t="s">
        <v>191</v>
      </c>
      <c r="E7" s="22" t="n">
        <v>0</v>
      </c>
      <c r="F7" s="16" t="n">
        <v>150</v>
      </c>
      <c r="G7" s="4" t="s">
        <v>318</v>
      </c>
      <c r="H7" s="17" t="n">
        <f aca="false">E7*F7</f>
        <v>0</v>
      </c>
      <c r="I7" s="17" t="n">
        <f aca="false">IF(G7="Par an",E7*F7,0)</f>
        <v>0</v>
      </c>
      <c r="J7" s="4" t="s">
        <v>319</v>
      </c>
      <c r="K7" s="4" t="s">
        <v>66</v>
      </c>
    </row>
    <row r="8" customFormat="false" ht="31.5" hidden="false" customHeight="true" outlineLevel="0" collapsed="false">
      <c r="A8" s="4" t="s">
        <v>320</v>
      </c>
      <c r="B8" s="4" t="s">
        <v>321</v>
      </c>
      <c r="C8" s="4" t="s">
        <v>322</v>
      </c>
      <c r="D8" s="4" t="s">
        <v>323</v>
      </c>
      <c r="E8" s="15" t="n">
        <v>1</v>
      </c>
      <c r="F8" s="16" t="n">
        <v>0</v>
      </c>
      <c r="G8" s="4" t="s">
        <v>312</v>
      </c>
      <c r="H8" s="17" t="n">
        <f aca="false">E8*F8</f>
        <v>0</v>
      </c>
      <c r="I8" s="17" t="n">
        <f aca="false">IF(G8="Par an",E8*F8,0)</f>
        <v>0</v>
      </c>
      <c r="J8" s="4" t="s">
        <v>324</v>
      </c>
      <c r="K8" s="4" t="s">
        <v>206</v>
      </c>
    </row>
    <row r="9" customFormat="false" ht="31.5" hidden="false" customHeight="true" outlineLevel="0" collapsed="false">
      <c r="A9" s="4" t="s">
        <v>325</v>
      </c>
      <c r="B9" s="4" t="s">
        <v>326</v>
      </c>
      <c r="C9" s="4" t="s">
        <v>311</v>
      </c>
      <c r="D9" s="4" t="s">
        <v>191</v>
      </c>
      <c r="E9" s="15" t="n">
        <v>1</v>
      </c>
      <c r="F9" s="16" t="n">
        <v>0</v>
      </c>
      <c r="G9" s="4" t="s">
        <v>312</v>
      </c>
      <c r="H9" s="17" t="n">
        <f aca="false">E9*F9</f>
        <v>0</v>
      </c>
      <c r="I9" s="17" t="n">
        <f aca="false">IF(G9="Par an",E9*F9,0)</f>
        <v>0</v>
      </c>
      <c r="J9" s="4" t="s">
        <v>327</v>
      </c>
      <c r="K9" s="4" t="s">
        <v>206</v>
      </c>
    </row>
    <row r="10" customFormat="false" ht="31.5" hidden="false" customHeight="true" outlineLevel="0" collapsed="false">
      <c r="A10" s="4" t="s">
        <v>328</v>
      </c>
      <c r="B10" s="4" t="s">
        <v>329</v>
      </c>
      <c r="C10" s="4" t="s">
        <v>330</v>
      </c>
      <c r="D10" s="4" t="s">
        <v>191</v>
      </c>
      <c r="E10" s="15" t="n">
        <v>1</v>
      </c>
      <c r="F10" s="16" t="n">
        <v>0</v>
      </c>
      <c r="G10" s="4" t="s">
        <v>312</v>
      </c>
      <c r="H10" s="17" t="n">
        <f aca="false">E10*F10</f>
        <v>0</v>
      </c>
      <c r="I10" s="17" t="n">
        <f aca="false">IF(G10="Par an",E10*F10,0)</f>
        <v>0</v>
      </c>
      <c r="J10" s="4" t="s">
        <v>331</v>
      </c>
      <c r="K10" s="4" t="s">
        <v>206</v>
      </c>
    </row>
    <row r="11" customFormat="false" ht="31.5" hidden="false" customHeight="true" outlineLevel="0" collapsed="false">
      <c r="A11" s="4" t="s">
        <v>332</v>
      </c>
      <c r="B11" s="4" t="s">
        <v>333</v>
      </c>
      <c r="C11" s="4" t="s">
        <v>199</v>
      </c>
      <c r="D11" s="4" t="s">
        <v>191</v>
      </c>
      <c r="E11" s="15" t="n">
        <v>1</v>
      </c>
      <c r="F11" s="16" t="n">
        <v>0</v>
      </c>
      <c r="G11" s="4" t="s">
        <v>312</v>
      </c>
      <c r="H11" s="17" t="n">
        <f aca="false">E11*F11</f>
        <v>0</v>
      </c>
      <c r="I11" s="17" t="n">
        <f aca="false">IF(G11="Par an",E11*F11,0)</f>
        <v>0</v>
      </c>
      <c r="J11" s="4" t="s">
        <v>334</v>
      </c>
      <c r="K11" s="4" t="s">
        <v>206</v>
      </c>
    </row>
    <row r="12" customFormat="false" ht="31.5" hidden="false" customHeight="true" outlineLevel="0" collapsed="false">
      <c r="A12" s="4" t="s">
        <v>335</v>
      </c>
      <c r="B12" s="4" t="s">
        <v>336</v>
      </c>
      <c r="C12" s="4" t="s">
        <v>337</v>
      </c>
      <c r="D12" s="4" t="s">
        <v>191</v>
      </c>
      <c r="E12" s="20" t="n">
        <f aca="false">Hypothèses!$B$16</f>
        <v>6</v>
      </c>
      <c r="F12" s="16" t="n">
        <v>45</v>
      </c>
      <c r="G12" s="4" t="s">
        <v>318</v>
      </c>
      <c r="H12" s="17" t="n">
        <f aca="false">E12*F12</f>
        <v>270</v>
      </c>
      <c r="I12" s="17" t="n">
        <f aca="false">IF(G12="Par an",E12*F12,0)</f>
        <v>270</v>
      </c>
      <c r="J12" s="4" t="s">
        <v>338</v>
      </c>
      <c r="K12" s="4" t="s">
        <v>66</v>
      </c>
    </row>
    <row r="13" customFormat="false" ht="31.5" hidden="false" customHeight="true" outlineLevel="0" collapsed="false">
      <c r="A13" s="4" t="s">
        <v>339</v>
      </c>
      <c r="B13" s="4" t="s">
        <v>340</v>
      </c>
      <c r="C13" s="4" t="s">
        <v>341</v>
      </c>
      <c r="D13" s="4" t="s">
        <v>46</v>
      </c>
      <c r="E13" s="15" t="n">
        <v>1</v>
      </c>
      <c r="F13" s="16" t="n">
        <v>330</v>
      </c>
      <c r="G13" s="4" t="s">
        <v>312</v>
      </c>
      <c r="H13" s="17" t="n">
        <f aca="false">E13*F13</f>
        <v>330</v>
      </c>
      <c r="I13" s="17" t="n">
        <f aca="false">IF(G13="Par an",E13*F13,0)</f>
        <v>0</v>
      </c>
      <c r="J13" s="4" t="s">
        <v>342</v>
      </c>
      <c r="K13" s="4" t="s">
        <v>66</v>
      </c>
    </row>
    <row r="14" customFormat="false" ht="31.5" hidden="false" customHeight="true" outlineLevel="0" collapsed="false">
      <c r="A14" s="4" t="s">
        <v>339</v>
      </c>
      <c r="B14" s="4" t="s">
        <v>343</v>
      </c>
      <c r="C14" s="4" t="s">
        <v>344</v>
      </c>
      <c r="D14" s="4" t="s">
        <v>46</v>
      </c>
      <c r="E14" s="15" t="n">
        <v>2</v>
      </c>
      <c r="F14" s="16" t="n">
        <v>150</v>
      </c>
      <c r="G14" s="4" t="s">
        <v>312</v>
      </c>
      <c r="H14" s="17" t="n">
        <f aca="false">E14*F14</f>
        <v>300</v>
      </c>
      <c r="I14" s="17" t="n">
        <f aca="false">IF(G14="Par an",E14*F14,0)</f>
        <v>0</v>
      </c>
      <c r="J14" s="4" t="s">
        <v>345</v>
      </c>
      <c r="K14" s="4" t="s">
        <v>66</v>
      </c>
    </row>
    <row r="15" customFormat="false" ht="31.5" hidden="false" customHeight="true" outlineLevel="0" collapsed="false">
      <c r="A15" s="4" t="s">
        <v>339</v>
      </c>
      <c r="B15" s="4" t="s">
        <v>346</v>
      </c>
      <c r="C15" s="4" t="s">
        <v>341</v>
      </c>
      <c r="D15" s="4" t="s">
        <v>191</v>
      </c>
      <c r="E15" s="15" t="n">
        <v>1</v>
      </c>
      <c r="F15" s="16" t="n">
        <v>0</v>
      </c>
      <c r="G15" s="4" t="s">
        <v>312</v>
      </c>
      <c r="H15" s="17" t="n">
        <f aca="false">E15*F15</f>
        <v>0</v>
      </c>
      <c r="I15" s="17" t="n">
        <f aca="false">IF(G15="Par an",E15*F15,0)</f>
        <v>0</v>
      </c>
      <c r="J15" s="4" t="s">
        <v>347</v>
      </c>
      <c r="K15" s="4" t="s">
        <v>206</v>
      </c>
    </row>
    <row r="16" customFormat="false" ht="31.5" hidden="false" customHeight="true" outlineLevel="0" collapsed="false">
      <c r="A16" s="4" t="s">
        <v>348</v>
      </c>
      <c r="B16" s="4" t="s">
        <v>349</v>
      </c>
      <c r="C16" s="4" t="s">
        <v>350</v>
      </c>
      <c r="D16" s="4" t="s">
        <v>191</v>
      </c>
      <c r="E16" s="15" t="n">
        <v>1</v>
      </c>
      <c r="F16" s="16" t="n">
        <v>0</v>
      </c>
      <c r="G16" s="4" t="s">
        <v>312</v>
      </c>
      <c r="H16" s="17" t="n">
        <f aca="false">E16*F16</f>
        <v>0</v>
      </c>
      <c r="I16" s="17" t="n">
        <f aca="false">IF(G16="Par an",E16*F16,0)</f>
        <v>0</v>
      </c>
      <c r="J16" s="4" t="s">
        <v>351</v>
      </c>
      <c r="K16" s="4" t="s">
        <v>206</v>
      </c>
    </row>
    <row r="17" customFormat="false" ht="31.5" hidden="false" customHeight="true" outlineLevel="0" collapsed="false">
      <c r="A17" s="4" t="s">
        <v>352</v>
      </c>
      <c r="B17" s="4" t="s">
        <v>353</v>
      </c>
      <c r="C17" s="4" t="s">
        <v>354</v>
      </c>
      <c r="D17" s="4" t="s">
        <v>191</v>
      </c>
      <c r="E17" s="15" t="n">
        <v>1</v>
      </c>
      <c r="F17" s="16" t="n">
        <v>0</v>
      </c>
      <c r="G17" s="4" t="s">
        <v>312</v>
      </c>
      <c r="H17" s="17" t="n">
        <f aca="false">E17*F17</f>
        <v>0</v>
      </c>
      <c r="I17" s="17" t="n">
        <f aca="false">IF(G17="Par an",E17*F17,0)</f>
        <v>0</v>
      </c>
      <c r="J17" s="4" t="s">
        <v>355</v>
      </c>
      <c r="K17" s="4" t="s">
        <v>206</v>
      </c>
    </row>
    <row r="18" customFormat="false" ht="31.5" hidden="false" customHeight="true" outlineLevel="0" collapsed="false">
      <c r="A18" s="4" t="s">
        <v>356</v>
      </c>
      <c r="B18" s="4" t="s">
        <v>357</v>
      </c>
      <c r="C18" s="4" t="s">
        <v>358</v>
      </c>
      <c r="D18" s="4" t="s">
        <v>262</v>
      </c>
      <c r="E18" s="22" t="n">
        <v>0</v>
      </c>
      <c r="F18" s="16" t="n">
        <v>3000</v>
      </c>
      <c r="G18" s="4" t="s">
        <v>312</v>
      </c>
      <c r="H18" s="17" t="n">
        <f aca="false">E18*F18</f>
        <v>0</v>
      </c>
      <c r="I18" s="17" t="n">
        <f aca="false">IF(G18="Par an",E18*F18,0)</f>
        <v>0</v>
      </c>
      <c r="J18" s="4" t="s">
        <v>359</v>
      </c>
      <c r="K18" s="4" t="s">
        <v>66</v>
      </c>
    </row>
    <row r="19" customFormat="false" ht="31.5" hidden="false" customHeight="true" outlineLevel="0" collapsed="false">
      <c r="A19" s="4" t="s">
        <v>356</v>
      </c>
      <c r="B19" s="4" t="s">
        <v>360</v>
      </c>
      <c r="C19" s="4" t="s">
        <v>361</v>
      </c>
      <c r="D19" s="4" t="s">
        <v>262</v>
      </c>
      <c r="E19" s="22" t="n">
        <v>0</v>
      </c>
      <c r="F19" s="16" t="n">
        <v>1000</v>
      </c>
      <c r="G19" s="4" t="s">
        <v>318</v>
      </c>
      <c r="H19" s="17" t="n">
        <f aca="false">E19*F19</f>
        <v>0</v>
      </c>
      <c r="I19" s="17" t="n">
        <f aca="false">IF(G19="Par an",E19*F19,0)</f>
        <v>0</v>
      </c>
      <c r="J19" s="4" t="s">
        <v>362</v>
      </c>
      <c r="K19" s="4" t="s">
        <v>66</v>
      </c>
    </row>
    <row r="20" customFormat="false" ht="15" hidden="false" customHeight="false" outlineLevel="0" collapsed="false">
      <c r="A20" s="7" t="s">
        <v>256</v>
      </c>
      <c r="B20" s="11"/>
      <c r="C20" s="11"/>
      <c r="D20" s="11"/>
      <c r="E20" s="11"/>
      <c r="F20" s="11"/>
      <c r="G20" s="11"/>
      <c r="H20" s="19" t="n">
        <f aca="false">SUM(H5:H19)</f>
        <v>1800</v>
      </c>
      <c r="I20" s="19" t="n">
        <f aca="false">SUM(I5:I19)</f>
        <v>270</v>
      </c>
      <c r="J20" s="11"/>
      <c r="K20" s="11"/>
    </row>
    <row r="22" customFormat="false" ht="33.75" hidden="false" customHeight="true" outlineLevel="0" collapsed="false">
      <c r="A22" s="3" t="s">
        <v>188</v>
      </c>
      <c r="B22" s="3"/>
      <c r="C22" s="3"/>
      <c r="D22" s="3"/>
      <c r="E22" s="3"/>
      <c r="F22" s="3"/>
      <c r="G22" s="3"/>
      <c r="H22" s="3" t="s">
        <v>306</v>
      </c>
      <c r="I22" s="3" t="s">
        <v>307</v>
      </c>
    </row>
    <row r="23" customFormat="false" ht="15" hidden="false" customHeight="false" outlineLevel="0" collapsed="false">
      <c r="A23" s="4" t="s">
        <v>309</v>
      </c>
      <c r="H23" s="17" t="n">
        <f aca="false">SUMIF($A$5:$A$19,A23,$H$5:$H$19)</f>
        <v>900</v>
      </c>
      <c r="I23" s="17" t="n">
        <f aca="false">SUMIF($A$5:$A$19,A23,$I$5:$I$19)</f>
        <v>0</v>
      </c>
    </row>
    <row r="24" customFormat="false" ht="15" hidden="false" customHeight="false" outlineLevel="0" collapsed="false">
      <c r="A24" s="4" t="s">
        <v>320</v>
      </c>
      <c r="H24" s="17" t="n">
        <f aca="false">SUMIF($A$5:$A$19,A24,$H$5:$H$19)</f>
        <v>0</v>
      </c>
      <c r="I24" s="17" t="n">
        <f aca="false">SUMIF($A$5:$A$19,A24,$I$5:$I$19)</f>
        <v>0</v>
      </c>
    </row>
    <row r="25" customFormat="false" ht="15" hidden="false" customHeight="false" outlineLevel="0" collapsed="false">
      <c r="A25" s="4" t="s">
        <v>325</v>
      </c>
      <c r="H25" s="17" t="n">
        <f aca="false">SUMIF($A$5:$A$19,A25,$H$5:$H$19)</f>
        <v>0</v>
      </c>
      <c r="I25" s="17" t="n">
        <f aca="false">SUMIF($A$5:$A$19,A25,$I$5:$I$19)</f>
        <v>0</v>
      </c>
    </row>
    <row r="26" customFormat="false" ht="15" hidden="false" customHeight="false" outlineLevel="0" collapsed="false">
      <c r="A26" s="4" t="s">
        <v>328</v>
      </c>
      <c r="H26" s="17" t="n">
        <f aca="false">SUMIF($A$5:$A$19,A26,$H$5:$H$19)</f>
        <v>0</v>
      </c>
      <c r="I26" s="17" t="n">
        <f aca="false">SUMIF($A$5:$A$19,A26,$I$5:$I$19)</f>
        <v>0</v>
      </c>
    </row>
    <row r="27" customFormat="false" ht="15" hidden="false" customHeight="false" outlineLevel="0" collapsed="false">
      <c r="A27" s="4" t="s">
        <v>332</v>
      </c>
      <c r="H27" s="17" t="n">
        <f aca="false">SUMIF($A$5:$A$19,A27,$H$5:$H$19)</f>
        <v>0</v>
      </c>
      <c r="I27" s="17" t="n">
        <f aca="false">SUMIF($A$5:$A$19,A27,$I$5:$I$19)</f>
        <v>0</v>
      </c>
    </row>
    <row r="28" customFormat="false" ht="15" hidden="false" customHeight="false" outlineLevel="0" collapsed="false">
      <c r="A28" s="4" t="s">
        <v>335</v>
      </c>
      <c r="H28" s="17" t="n">
        <f aca="false">SUMIF($A$5:$A$19,A28,$H$5:$H$19)</f>
        <v>270</v>
      </c>
      <c r="I28" s="17" t="n">
        <f aca="false">SUMIF($A$5:$A$19,A28,$I$5:$I$19)</f>
        <v>270</v>
      </c>
    </row>
    <row r="29" customFormat="false" ht="15" hidden="false" customHeight="false" outlineLevel="0" collapsed="false">
      <c r="A29" s="4" t="s">
        <v>339</v>
      </c>
      <c r="H29" s="17" t="n">
        <f aca="false">SUMIF($A$5:$A$19,A29,$H$5:$H$19)</f>
        <v>630</v>
      </c>
      <c r="I29" s="17" t="n">
        <f aca="false">SUMIF($A$5:$A$19,A29,$I$5:$I$19)</f>
        <v>0</v>
      </c>
    </row>
    <row r="30" customFormat="false" ht="15" hidden="false" customHeight="false" outlineLevel="0" collapsed="false">
      <c r="A30" s="4" t="s">
        <v>348</v>
      </c>
      <c r="H30" s="17" t="n">
        <f aca="false">SUMIF($A$5:$A$19,A30,$H$5:$H$19)</f>
        <v>0</v>
      </c>
      <c r="I30" s="17" t="n">
        <f aca="false">SUMIF($A$5:$A$19,A30,$I$5:$I$19)</f>
        <v>0</v>
      </c>
    </row>
    <row r="31" customFormat="false" ht="15" hidden="false" customHeight="false" outlineLevel="0" collapsed="false">
      <c r="A31" s="4" t="s">
        <v>352</v>
      </c>
      <c r="H31" s="17" t="n">
        <f aca="false">SUMIF($A$5:$A$19,A31,$H$5:$H$19)</f>
        <v>0</v>
      </c>
      <c r="I31" s="17" t="n">
        <f aca="false">SUMIF($A$5:$A$19,A31,$I$5:$I$19)</f>
        <v>0</v>
      </c>
    </row>
    <row r="32" customFormat="false" ht="15" hidden="false" customHeight="false" outlineLevel="0" collapsed="false">
      <c r="A32" s="4" t="s">
        <v>356</v>
      </c>
      <c r="H32" s="17" t="n">
        <f aca="false">SUMIF($A$5:$A$19,A32,$H$5:$H$19)</f>
        <v>0</v>
      </c>
      <c r="I32" s="17" t="n">
        <f aca="false">SUMIF($A$5:$A$19,A32,$I$5:$I$19)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6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364</v>
      </c>
    </row>
    <row r="4" customFormat="false" ht="45.75" hidden="false" customHeight="true" outlineLevel="0" collapsed="false">
      <c r="A4" s="3" t="s">
        <v>48</v>
      </c>
      <c r="B4" s="3" t="s">
        <v>302</v>
      </c>
      <c r="C4" s="3" t="s">
        <v>303</v>
      </c>
      <c r="D4" s="3" t="s">
        <v>304</v>
      </c>
      <c r="E4" s="3" t="s">
        <v>52</v>
      </c>
      <c r="F4" s="3" t="s">
        <v>53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59</v>
      </c>
    </row>
    <row r="5" customFormat="false" ht="31.5" hidden="false" customHeight="true" outlineLevel="0" collapsed="false">
      <c r="A5" s="4" t="s">
        <v>365</v>
      </c>
      <c r="B5" s="4" t="s">
        <v>366</v>
      </c>
      <c r="C5" s="4" t="s">
        <v>367</v>
      </c>
      <c r="D5" s="4" t="s">
        <v>191</v>
      </c>
      <c r="E5" s="15" t="n">
        <v>1</v>
      </c>
      <c r="F5" s="16" t="n">
        <v>0</v>
      </c>
      <c r="G5" s="4" t="s">
        <v>312</v>
      </c>
      <c r="H5" s="17" t="n">
        <f aca="false">E5*F5</f>
        <v>0</v>
      </c>
      <c r="I5" s="17" t="n">
        <f aca="false">IF(G5="Par an",E5*F5,0)</f>
        <v>0</v>
      </c>
      <c r="J5" s="4" t="s">
        <v>368</v>
      </c>
      <c r="K5" s="4" t="s">
        <v>206</v>
      </c>
    </row>
    <row r="6" customFormat="false" ht="31.5" hidden="false" customHeight="true" outlineLevel="0" collapsed="false">
      <c r="A6" s="4" t="s">
        <v>369</v>
      </c>
      <c r="B6" s="4" t="s">
        <v>370</v>
      </c>
      <c r="C6" s="4" t="s">
        <v>371</v>
      </c>
      <c r="D6" s="4" t="s">
        <v>323</v>
      </c>
      <c r="E6" s="15" t="n">
        <v>1</v>
      </c>
      <c r="F6" s="16" t="n">
        <v>0</v>
      </c>
      <c r="G6" s="4" t="s">
        <v>312</v>
      </c>
      <c r="H6" s="17" t="n">
        <f aca="false">E6*F6</f>
        <v>0</v>
      </c>
      <c r="I6" s="17" t="n">
        <f aca="false">IF(G6="Par an",E6*F6,0)</f>
        <v>0</v>
      </c>
      <c r="J6" s="4" t="s">
        <v>372</v>
      </c>
      <c r="K6" s="4" t="s">
        <v>206</v>
      </c>
    </row>
    <row r="7" customFormat="false" ht="31.5" hidden="false" customHeight="true" outlineLevel="0" collapsed="false">
      <c r="A7" s="4" t="s">
        <v>373</v>
      </c>
      <c r="B7" s="4" t="s">
        <v>374</v>
      </c>
      <c r="C7" s="4" t="s">
        <v>371</v>
      </c>
      <c r="D7" s="4" t="s">
        <v>323</v>
      </c>
      <c r="E7" s="15" t="n">
        <v>1</v>
      </c>
      <c r="F7" s="16" t="n">
        <v>0</v>
      </c>
      <c r="G7" s="4" t="s">
        <v>312</v>
      </c>
      <c r="H7" s="17" t="n">
        <f aca="false">E7*F7</f>
        <v>0</v>
      </c>
      <c r="I7" s="17" t="n">
        <f aca="false">IF(G7="Par an",E7*F7,0)</f>
        <v>0</v>
      </c>
      <c r="J7" s="4" t="s">
        <v>375</v>
      </c>
      <c r="K7" s="4" t="s">
        <v>206</v>
      </c>
    </row>
    <row r="8" customFormat="false" ht="31.5" hidden="false" customHeight="true" outlineLevel="0" collapsed="false">
      <c r="A8" s="4" t="s">
        <v>376</v>
      </c>
      <c r="B8" s="4" t="s">
        <v>377</v>
      </c>
      <c r="C8" s="4" t="s">
        <v>350</v>
      </c>
      <c r="D8" s="4" t="s">
        <v>191</v>
      </c>
      <c r="E8" s="15" t="n">
        <v>1</v>
      </c>
      <c r="F8" s="16" t="n">
        <v>0</v>
      </c>
      <c r="G8" s="4" t="s">
        <v>312</v>
      </c>
      <c r="H8" s="17" t="n">
        <f aca="false">E8*F8</f>
        <v>0</v>
      </c>
      <c r="I8" s="17" t="n">
        <f aca="false">IF(G8="Par an",E8*F8,0)</f>
        <v>0</v>
      </c>
      <c r="J8" s="4" t="s">
        <v>378</v>
      </c>
      <c r="K8" s="4" t="s">
        <v>206</v>
      </c>
    </row>
    <row r="9" customFormat="false" ht="31.5" hidden="false" customHeight="true" outlineLevel="0" collapsed="false">
      <c r="A9" s="4" t="s">
        <v>379</v>
      </c>
      <c r="B9" s="4" t="s">
        <v>380</v>
      </c>
      <c r="C9" s="4" t="s">
        <v>381</v>
      </c>
      <c r="D9" s="4" t="s">
        <v>191</v>
      </c>
      <c r="E9" s="15" t="n">
        <v>1</v>
      </c>
      <c r="F9" s="16" t="n">
        <v>0</v>
      </c>
      <c r="G9" s="4" t="s">
        <v>312</v>
      </c>
      <c r="H9" s="17" t="n">
        <f aca="false">E9*F9</f>
        <v>0</v>
      </c>
      <c r="I9" s="17" t="n">
        <f aca="false">IF(G9="Par an",E9*F9,0)</f>
        <v>0</v>
      </c>
      <c r="J9" s="4" t="s">
        <v>382</v>
      </c>
      <c r="K9" s="4" t="s">
        <v>206</v>
      </c>
    </row>
    <row r="10" customFormat="false" ht="31.5" hidden="false" customHeight="true" outlineLevel="0" collapsed="false">
      <c r="A10" s="4" t="s">
        <v>383</v>
      </c>
      <c r="B10" s="4" t="s">
        <v>384</v>
      </c>
      <c r="C10" s="4" t="s">
        <v>105</v>
      </c>
      <c r="D10" s="4" t="s">
        <v>46</v>
      </c>
      <c r="E10" s="15" t="n">
        <v>1</v>
      </c>
      <c r="F10" s="16" t="n">
        <v>130</v>
      </c>
      <c r="G10" s="4" t="s">
        <v>312</v>
      </c>
      <c r="H10" s="17" t="n">
        <f aca="false">E10*F10</f>
        <v>130</v>
      </c>
      <c r="I10" s="17" t="n">
        <f aca="false">IF(G10="Par an",E10*F10,0)</f>
        <v>0</v>
      </c>
      <c r="J10" s="4" t="s">
        <v>385</v>
      </c>
      <c r="K10" s="4" t="s">
        <v>66</v>
      </c>
    </row>
    <row r="11" customFormat="false" ht="15" hidden="false" customHeight="false" outlineLevel="0" collapsed="false">
      <c r="A11" s="7" t="s">
        <v>256</v>
      </c>
      <c r="B11" s="11"/>
      <c r="C11" s="11"/>
      <c r="D11" s="11"/>
      <c r="E11" s="11"/>
      <c r="F11" s="11"/>
      <c r="G11" s="11"/>
      <c r="H11" s="19" t="n">
        <f aca="false">SUM(H5:H10)</f>
        <v>130</v>
      </c>
      <c r="I11" s="19" t="n">
        <f aca="false">SUM(I5:I10)</f>
        <v>0</v>
      </c>
      <c r="J11" s="11"/>
      <c r="K11" s="11"/>
    </row>
    <row r="13" customFormat="false" ht="33.75" hidden="false" customHeight="true" outlineLevel="0" collapsed="false">
      <c r="A13" s="3" t="s">
        <v>188</v>
      </c>
      <c r="B13" s="3"/>
      <c r="C13" s="3"/>
      <c r="D13" s="3"/>
      <c r="E13" s="3"/>
      <c r="F13" s="3"/>
      <c r="G13" s="3"/>
      <c r="H13" s="3" t="s">
        <v>306</v>
      </c>
      <c r="I13" s="3" t="s">
        <v>307</v>
      </c>
    </row>
    <row r="14" customFormat="false" ht="15" hidden="false" customHeight="false" outlineLevel="0" collapsed="false">
      <c r="A14" s="4" t="s">
        <v>365</v>
      </c>
      <c r="H14" s="17" t="n">
        <f aca="false">SUMIF($A$5:$A$10,A14,$H$5:$H$10)</f>
        <v>0</v>
      </c>
      <c r="I14" s="17" t="n">
        <f aca="false">SUMIF($A$5:$A$10,A14,$I$5:$I$10)</f>
        <v>0</v>
      </c>
    </row>
    <row r="15" customFormat="false" ht="15" hidden="false" customHeight="false" outlineLevel="0" collapsed="false">
      <c r="A15" s="4" t="s">
        <v>369</v>
      </c>
      <c r="H15" s="17" t="n">
        <f aca="false">SUMIF($A$5:$A$10,A15,$H$5:$H$10)</f>
        <v>0</v>
      </c>
      <c r="I15" s="17" t="n">
        <f aca="false">SUMIF($A$5:$A$10,A15,$I$5:$I$10)</f>
        <v>0</v>
      </c>
    </row>
    <row r="16" customFormat="false" ht="15" hidden="false" customHeight="false" outlineLevel="0" collapsed="false">
      <c r="A16" s="4" t="s">
        <v>373</v>
      </c>
      <c r="H16" s="17" t="n">
        <f aca="false">SUMIF($A$5:$A$10,A16,$H$5:$H$10)</f>
        <v>0</v>
      </c>
      <c r="I16" s="17" t="n">
        <f aca="false">SUMIF($A$5:$A$10,A16,$I$5:$I$10)</f>
        <v>0</v>
      </c>
    </row>
    <row r="17" customFormat="false" ht="15" hidden="false" customHeight="false" outlineLevel="0" collapsed="false">
      <c r="A17" s="4" t="s">
        <v>376</v>
      </c>
      <c r="H17" s="17" t="n">
        <f aca="false">SUMIF($A$5:$A$10,A17,$H$5:$H$10)</f>
        <v>0</v>
      </c>
      <c r="I17" s="17" t="n">
        <f aca="false">SUMIF($A$5:$A$10,A17,$I$5:$I$10)</f>
        <v>0</v>
      </c>
    </row>
    <row r="18" customFormat="false" ht="15" hidden="false" customHeight="false" outlineLevel="0" collapsed="false">
      <c r="A18" s="4" t="s">
        <v>379</v>
      </c>
      <c r="H18" s="17" t="n">
        <f aca="false">SUMIF($A$5:$A$10,A18,$H$5:$H$10)</f>
        <v>0</v>
      </c>
      <c r="I18" s="17" t="n">
        <f aca="false">SUMIF($A$5:$A$10,A18,$I$5:$I$10)</f>
        <v>0</v>
      </c>
    </row>
    <row r="19" customFormat="false" ht="15" hidden="false" customHeight="false" outlineLevel="0" collapsed="false">
      <c r="A19" s="4" t="s">
        <v>383</v>
      </c>
      <c r="H19" s="17" t="n">
        <f aca="false">SUMIF($A$5:$A$10,A19,$H$5:$H$10)</f>
        <v>130</v>
      </c>
      <c r="I19" s="17" t="n">
        <f aca="false">SUMIF($A$5:$A$10,A19,$I$5:$I$10)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6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4" customFormat="false" ht="45.75" hidden="false" customHeight="true" outlineLevel="0" collapsed="false">
      <c r="A4" s="3" t="s">
        <v>48</v>
      </c>
      <c r="B4" s="3" t="s">
        <v>302</v>
      </c>
      <c r="C4" s="3" t="s">
        <v>303</v>
      </c>
      <c r="D4" s="3" t="s">
        <v>304</v>
      </c>
      <c r="E4" s="3" t="s">
        <v>52</v>
      </c>
      <c r="F4" s="3" t="s">
        <v>53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59</v>
      </c>
    </row>
    <row r="5" customFormat="false" ht="31.5" hidden="false" customHeight="true" outlineLevel="0" collapsed="false">
      <c r="A5" s="4" t="s">
        <v>388</v>
      </c>
      <c r="B5" s="4" t="s">
        <v>389</v>
      </c>
      <c r="C5" s="4" t="s">
        <v>105</v>
      </c>
      <c r="D5" s="4" t="s">
        <v>262</v>
      </c>
      <c r="E5" s="15" t="n">
        <v>2</v>
      </c>
      <c r="F5" s="16" t="n">
        <v>250</v>
      </c>
      <c r="G5" s="4" t="s">
        <v>312</v>
      </c>
      <c r="H5" s="17" t="n">
        <f aca="false">E5*F5</f>
        <v>500</v>
      </c>
      <c r="I5" s="17" t="n">
        <f aca="false">IF(G5="Par an",E5*F5,0)</f>
        <v>0</v>
      </c>
      <c r="J5" s="4" t="s">
        <v>390</v>
      </c>
      <c r="K5" s="4" t="s">
        <v>66</v>
      </c>
    </row>
    <row r="6" customFormat="false" ht="31.5" hidden="false" customHeight="true" outlineLevel="0" collapsed="false">
      <c r="A6" s="4" t="s">
        <v>391</v>
      </c>
      <c r="B6" s="4" t="s">
        <v>392</v>
      </c>
      <c r="C6" s="4" t="s">
        <v>73</v>
      </c>
      <c r="D6" s="4" t="s">
        <v>391</v>
      </c>
      <c r="E6" s="15" t="n">
        <v>1</v>
      </c>
      <c r="F6" s="16" t="n">
        <v>0</v>
      </c>
      <c r="G6" s="4" t="s">
        <v>312</v>
      </c>
      <c r="H6" s="17" t="n">
        <f aca="false">E6*F6</f>
        <v>0</v>
      </c>
      <c r="I6" s="17" t="n">
        <f aca="false">IF(G6="Par an",E6*F6,0)</f>
        <v>0</v>
      </c>
      <c r="J6" s="4" t="s">
        <v>393</v>
      </c>
      <c r="K6" s="4" t="s">
        <v>206</v>
      </c>
    </row>
    <row r="7" customFormat="false" ht="31.5" hidden="false" customHeight="true" outlineLevel="0" collapsed="false">
      <c r="A7" s="4" t="s">
        <v>391</v>
      </c>
      <c r="B7" s="4" t="s">
        <v>394</v>
      </c>
      <c r="C7" s="4" t="s">
        <v>169</v>
      </c>
      <c r="D7" s="4" t="s">
        <v>391</v>
      </c>
      <c r="E7" s="15" t="n">
        <v>1</v>
      </c>
      <c r="F7" s="16" t="n">
        <v>0</v>
      </c>
      <c r="G7" s="4" t="s">
        <v>312</v>
      </c>
      <c r="H7" s="17" t="n">
        <f aca="false">E7*F7</f>
        <v>0</v>
      </c>
      <c r="I7" s="17" t="n">
        <f aca="false">IF(G7="Par an",E7*F7,0)</f>
        <v>0</v>
      </c>
      <c r="J7" s="4" t="s">
        <v>395</v>
      </c>
      <c r="K7" s="4" t="s">
        <v>206</v>
      </c>
    </row>
    <row r="8" customFormat="false" ht="31.5" hidden="false" customHeight="true" outlineLevel="0" collapsed="false">
      <c r="A8" s="4" t="s">
        <v>386</v>
      </c>
      <c r="B8" s="4" t="s">
        <v>396</v>
      </c>
      <c r="C8" s="4" t="s">
        <v>358</v>
      </c>
      <c r="D8" s="4" t="s">
        <v>262</v>
      </c>
      <c r="E8" s="15" t="n">
        <v>1</v>
      </c>
      <c r="F8" s="16" t="n">
        <v>1000</v>
      </c>
      <c r="G8" s="4" t="s">
        <v>318</v>
      </c>
      <c r="H8" s="17" t="n">
        <f aca="false">E8*F8</f>
        <v>1000</v>
      </c>
      <c r="I8" s="17" t="n">
        <f aca="false">IF(G8="Par an",E8*F8,0)</f>
        <v>1000</v>
      </c>
      <c r="J8" s="4" t="s">
        <v>397</v>
      </c>
      <c r="K8" s="4" t="s">
        <v>66</v>
      </c>
    </row>
    <row r="9" customFormat="false" ht="31.5" hidden="false" customHeight="true" outlineLevel="0" collapsed="false">
      <c r="A9" s="4" t="s">
        <v>398</v>
      </c>
      <c r="B9" s="4" t="s">
        <v>399</v>
      </c>
      <c r="C9" s="4" t="s">
        <v>169</v>
      </c>
      <c r="D9" s="4" t="s">
        <v>191</v>
      </c>
      <c r="E9" s="15" t="n">
        <v>1</v>
      </c>
      <c r="F9" s="16" t="n">
        <v>0</v>
      </c>
      <c r="G9" s="4" t="s">
        <v>312</v>
      </c>
      <c r="H9" s="17" t="n">
        <f aca="false">E9*F9</f>
        <v>0</v>
      </c>
      <c r="I9" s="17" t="n">
        <f aca="false">IF(G9="Par an",E9*F9,0)</f>
        <v>0</v>
      </c>
      <c r="J9" s="4" t="s">
        <v>400</v>
      </c>
      <c r="K9" s="4" t="s">
        <v>206</v>
      </c>
    </row>
    <row r="10" customFormat="false" ht="31.5" hidden="false" customHeight="true" outlineLevel="0" collapsed="false">
      <c r="A10" s="4" t="s">
        <v>401</v>
      </c>
      <c r="B10" s="4" t="s">
        <v>402</v>
      </c>
      <c r="C10" s="4" t="s">
        <v>73</v>
      </c>
      <c r="D10" s="4" t="s">
        <v>46</v>
      </c>
      <c r="E10" s="15" t="n">
        <v>1</v>
      </c>
      <c r="F10" s="16" t="n">
        <v>330</v>
      </c>
      <c r="G10" s="4" t="s">
        <v>312</v>
      </c>
      <c r="H10" s="17" t="n">
        <f aca="false">E10*F10</f>
        <v>330</v>
      </c>
      <c r="I10" s="17" t="n">
        <f aca="false">IF(G10="Par an",E10*F10,0)</f>
        <v>0</v>
      </c>
      <c r="J10" s="4" t="s">
        <v>403</v>
      </c>
      <c r="K10" s="4" t="s">
        <v>66</v>
      </c>
    </row>
    <row r="11" customFormat="false" ht="31.5" hidden="false" customHeight="true" outlineLevel="0" collapsed="false">
      <c r="A11" s="4" t="s">
        <v>401</v>
      </c>
      <c r="B11" s="4" t="s">
        <v>404</v>
      </c>
      <c r="C11" s="4" t="s">
        <v>62</v>
      </c>
      <c r="D11" s="4" t="s">
        <v>46</v>
      </c>
      <c r="E11" s="15" t="n">
        <v>1</v>
      </c>
      <c r="F11" s="16" t="n">
        <v>220</v>
      </c>
      <c r="G11" s="4" t="s">
        <v>312</v>
      </c>
      <c r="H11" s="17" t="n">
        <f aca="false">E11*F11</f>
        <v>220</v>
      </c>
      <c r="I11" s="17" t="n">
        <f aca="false">IF(G11="Par an",E11*F11,0)</f>
        <v>0</v>
      </c>
      <c r="J11" s="4" t="s">
        <v>403</v>
      </c>
      <c r="K11" s="4" t="s">
        <v>66</v>
      </c>
    </row>
    <row r="12" customFormat="false" ht="31.5" hidden="false" customHeight="true" outlineLevel="0" collapsed="false">
      <c r="A12" s="4" t="s">
        <v>401</v>
      </c>
      <c r="B12" s="4" t="s">
        <v>405</v>
      </c>
      <c r="C12" s="4" t="s">
        <v>169</v>
      </c>
      <c r="D12" s="4" t="s">
        <v>46</v>
      </c>
      <c r="E12" s="15" t="n">
        <v>2</v>
      </c>
      <c r="F12" s="16" t="n">
        <v>120</v>
      </c>
      <c r="G12" s="4" t="s">
        <v>312</v>
      </c>
      <c r="H12" s="17" t="n">
        <f aca="false">E12*F12</f>
        <v>240</v>
      </c>
      <c r="I12" s="17" t="n">
        <f aca="false">IF(G12="Par an",E12*F12,0)</f>
        <v>0</v>
      </c>
      <c r="J12" s="4" t="s">
        <v>406</v>
      </c>
      <c r="K12" s="4" t="s">
        <v>66</v>
      </c>
    </row>
    <row r="13" customFormat="false" ht="31.5" hidden="false" customHeight="true" outlineLevel="0" collapsed="false">
      <c r="A13" s="4" t="s">
        <v>356</v>
      </c>
      <c r="B13" s="4" t="s">
        <v>407</v>
      </c>
      <c r="C13" s="4" t="s">
        <v>217</v>
      </c>
      <c r="D13" s="4" t="s">
        <v>262</v>
      </c>
      <c r="E13" s="22" t="n">
        <v>0</v>
      </c>
      <c r="F13" s="16" t="n">
        <v>115</v>
      </c>
      <c r="G13" s="4" t="s">
        <v>318</v>
      </c>
      <c r="H13" s="17" t="n">
        <f aca="false">E13*F13</f>
        <v>0</v>
      </c>
      <c r="I13" s="17" t="n">
        <f aca="false">IF(G13="Par an",E13*F13,0)</f>
        <v>0</v>
      </c>
      <c r="J13" s="4" t="s">
        <v>408</v>
      </c>
      <c r="K13" s="4" t="s">
        <v>66</v>
      </c>
    </row>
    <row r="14" customFormat="false" ht="15" hidden="false" customHeight="false" outlineLevel="0" collapsed="false">
      <c r="A14" s="7" t="s">
        <v>256</v>
      </c>
      <c r="B14" s="11"/>
      <c r="C14" s="11"/>
      <c r="D14" s="11"/>
      <c r="E14" s="11"/>
      <c r="F14" s="11"/>
      <c r="G14" s="11"/>
      <c r="H14" s="19" t="n">
        <f aca="false">SUM(H5:H13)</f>
        <v>2290</v>
      </c>
      <c r="I14" s="19" t="n">
        <f aca="false">SUM(I5:I13)</f>
        <v>1000</v>
      </c>
      <c r="J14" s="11"/>
      <c r="K14" s="11"/>
    </row>
    <row r="16" customFormat="false" ht="33.75" hidden="false" customHeight="true" outlineLevel="0" collapsed="false">
      <c r="A16" s="3" t="s">
        <v>188</v>
      </c>
      <c r="B16" s="3"/>
      <c r="C16" s="3"/>
      <c r="D16" s="3"/>
      <c r="E16" s="3"/>
      <c r="F16" s="3"/>
      <c r="G16" s="3"/>
      <c r="H16" s="3" t="s">
        <v>306</v>
      </c>
      <c r="I16" s="3" t="s">
        <v>307</v>
      </c>
    </row>
    <row r="17" customFormat="false" ht="15" hidden="false" customHeight="false" outlineLevel="0" collapsed="false">
      <c r="A17" s="4" t="s">
        <v>388</v>
      </c>
      <c r="H17" s="17" t="n">
        <f aca="false">SUMIF($A$5:$A$13,A17,$H$5:$H$13)</f>
        <v>500</v>
      </c>
      <c r="I17" s="17" t="n">
        <f aca="false">SUMIF($A$5:$A$13,A17,$I$5:$I$13)</f>
        <v>0</v>
      </c>
    </row>
    <row r="18" customFormat="false" ht="15" hidden="false" customHeight="false" outlineLevel="0" collapsed="false">
      <c r="A18" s="4" t="s">
        <v>391</v>
      </c>
      <c r="H18" s="17" t="n">
        <f aca="false">SUMIF($A$5:$A$13,A18,$H$5:$H$13)</f>
        <v>0</v>
      </c>
      <c r="I18" s="17" t="n">
        <f aca="false">SUMIF($A$5:$A$13,A18,$I$5:$I$13)</f>
        <v>0</v>
      </c>
    </row>
    <row r="19" customFormat="false" ht="15" hidden="false" customHeight="false" outlineLevel="0" collapsed="false">
      <c r="A19" s="4" t="s">
        <v>386</v>
      </c>
      <c r="H19" s="17" t="n">
        <f aca="false">SUMIF($A$5:$A$13,A19,$H$5:$H$13)</f>
        <v>1000</v>
      </c>
      <c r="I19" s="17" t="n">
        <f aca="false">SUMIF($A$5:$A$13,A19,$I$5:$I$13)</f>
        <v>1000</v>
      </c>
    </row>
    <row r="20" customFormat="false" ht="15" hidden="false" customHeight="false" outlineLevel="0" collapsed="false">
      <c r="A20" s="4" t="s">
        <v>398</v>
      </c>
      <c r="H20" s="17" t="n">
        <f aca="false">SUMIF($A$5:$A$13,A20,$H$5:$H$13)</f>
        <v>0</v>
      </c>
      <c r="I20" s="17" t="n">
        <f aca="false">SUMIF($A$5:$A$13,A20,$I$5:$I$13)</f>
        <v>0</v>
      </c>
    </row>
    <row r="21" customFormat="false" ht="15" hidden="false" customHeight="false" outlineLevel="0" collapsed="false">
      <c r="A21" s="4" t="s">
        <v>401</v>
      </c>
      <c r="H21" s="17" t="n">
        <f aca="false">SUMIF($A$5:$A$13,A21,$H$5:$H$13)</f>
        <v>790</v>
      </c>
      <c r="I21" s="17" t="n">
        <f aca="false">SUMIF($A$5:$A$13,A21,$I$5:$I$13)</f>
        <v>0</v>
      </c>
    </row>
    <row r="22" customFormat="false" ht="15" hidden="false" customHeight="false" outlineLevel="0" collapsed="false">
      <c r="A22" s="4" t="s">
        <v>356</v>
      </c>
      <c r="H22" s="17" t="n">
        <f aca="false">SUMIF($A$5:$A$13,A22,$H$5:$H$13)</f>
        <v>0</v>
      </c>
      <c r="I22" s="17" t="n">
        <f aca="false">SUMIF($A$5:$A$13,A22,$I$5:$I$13)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409</v>
      </c>
    </row>
    <row r="4" customFormat="false" ht="33.75" hidden="false" customHeight="true" outlineLevel="0" collapsed="false">
      <c r="A4" s="3" t="s">
        <v>2</v>
      </c>
      <c r="B4" s="3" t="s">
        <v>410</v>
      </c>
      <c r="C4" s="3" t="s">
        <v>52</v>
      </c>
      <c r="D4" s="3" t="s">
        <v>411</v>
      </c>
      <c r="E4" s="3" t="s">
        <v>412</v>
      </c>
      <c r="F4" s="3" t="s">
        <v>54</v>
      </c>
      <c r="G4" s="3" t="s">
        <v>413</v>
      </c>
    </row>
    <row r="5" customFormat="false" ht="30" hidden="false" customHeight="true" outlineLevel="0" collapsed="false">
      <c r="A5" s="4" t="s">
        <v>414</v>
      </c>
      <c r="B5" s="4" t="s">
        <v>415</v>
      </c>
      <c r="C5" s="15" t="n">
        <v>2</v>
      </c>
      <c r="D5" s="4" t="s">
        <v>416</v>
      </c>
      <c r="E5" s="5" t="n">
        <f aca="false">Hypothèses!$B$10</f>
        <v>450</v>
      </c>
      <c r="F5" s="13" t="n">
        <f aca="false">C5*E5</f>
        <v>900</v>
      </c>
      <c r="G5" s="4" t="s">
        <v>417</v>
      </c>
    </row>
    <row r="6" customFormat="false" ht="30" hidden="false" customHeight="true" outlineLevel="0" collapsed="false">
      <c r="A6" s="4" t="s">
        <v>418</v>
      </c>
      <c r="B6" s="4" t="s">
        <v>415</v>
      </c>
      <c r="C6" s="15" t="n">
        <v>22</v>
      </c>
      <c r="D6" s="4" t="s">
        <v>416</v>
      </c>
      <c r="E6" s="5" t="n">
        <f aca="false">Hypothèses!$B$9</f>
        <v>650</v>
      </c>
      <c r="F6" s="13" t="n">
        <f aca="false">C6*E6</f>
        <v>14300</v>
      </c>
      <c r="G6" s="4" t="s">
        <v>419</v>
      </c>
    </row>
    <row r="7" customFormat="false" ht="30" hidden="false" customHeight="true" outlineLevel="0" collapsed="false">
      <c r="A7" s="4" t="s">
        <v>420</v>
      </c>
      <c r="B7" s="4" t="s">
        <v>415</v>
      </c>
      <c r="C7" s="15" t="n">
        <v>2</v>
      </c>
      <c r="D7" s="4" t="s">
        <v>416</v>
      </c>
      <c r="E7" s="5" t="n">
        <f aca="false">Hypothèses!$B$9</f>
        <v>650</v>
      </c>
      <c r="F7" s="13" t="n">
        <f aca="false">C7*E7</f>
        <v>1300</v>
      </c>
      <c r="G7" s="4" t="s">
        <v>421</v>
      </c>
    </row>
    <row r="8" customFormat="false" ht="30" hidden="false" customHeight="true" outlineLevel="0" collapsed="false">
      <c r="A8" s="4" t="s">
        <v>422</v>
      </c>
      <c r="B8" s="4" t="s">
        <v>415</v>
      </c>
      <c r="C8" s="15" t="n">
        <v>3</v>
      </c>
      <c r="D8" s="4" t="s">
        <v>416</v>
      </c>
      <c r="E8" s="5" t="n">
        <f aca="false">Hypothèses!$B$9</f>
        <v>650</v>
      </c>
      <c r="F8" s="13" t="n">
        <f aca="false">C8*E8</f>
        <v>1950</v>
      </c>
      <c r="G8" s="4" t="s">
        <v>423</v>
      </c>
    </row>
    <row r="9" customFormat="false" ht="30" hidden="false" customHeight="true" outlineLevel="0" collapsed="false">
      <c r="A9" s="4" t="s">
        <v>424</v>
      </c>
      <c r="B9" s="4" t="s">
        <v>425</v>
      </c>
      <c r="C9" s="15" t="n">
        <v>1</v>
      </c>
      <c r="D9" s="4" t="s">
        <v>426</v>
      </c>
      <c r="E9" s="23" t="n">
        <v>1000</v>
      </c>
      <c r="F9" s="13" t="n">
        <f aca="false">C9*E9</f>
        <v>1000</v>
      </c>
      <c r="G9" s="4" t="s">
        <v>427</v>
      </c>
    </row>
    <row r="10" customFormat="false" ht="30" hidden="false" customHeight="true" outlineLevel="0" collapsed="false">
      <c r="A10" s="4" t="s">
        <v>428</v>
      </c>
      <c r="B10" s="4" t="s">
        <v>429</v>
      </c>
      <c r="C10" s="15" t="n">
        <v>1</v>
      </c>
      <c r="D10" s="4" t="s">
        <v>426</v>
      </c>
      <c r="E10" s="5" t="n">
        <f aca="false">Hypothèses!$B$13</f>
        <v>1750</v>
      </c>
      <c r="F10" s="13" t="n">
        <f aca="false">C10*E10</f>
        <v>1750</v>
      </c>
      <c r="G10" s="4" t="s">
        <v>430</v>
      </c>
    </row>
    <row r="11" customFormat="false" ht="15" hidden="false" customHeight="false" outlineLevel="0" collapsed="false">
      <c r="A11" s="7" t="s">
        <v>431</v>
      </c>
      <c r="B11" s="11"/>
      <c r="C11" s="11"/>
      <c r="D11" s="11"/>
      <c r="E11" s="11"/>
      <c r="F11" s="8" t="n">
        <f aca="false">SUM(F5:F10)</f>
        <v>21200</v>
      </c>
      <c r="G11" s="11"/>
    </row>
    <row r="12" customFormat="false" ht="15" hidden="false" customHeight="false" outlineLevel="0" collapsed="false">
      <c r="A12" s="4" t="s">
        <v>432</v>
      </c>
      <c r="F12" s="13" t="n">
        <f aca="false">SUM(F5:F8)</f>
        <v>18450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10" min="3" style="0" width="11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33.75" hidden="false" customHeight="true" outlineLevel="0" collapsed="false">
      <c r="A4" s="3" t="s">
        <v>435</v>
      </c>
      <c r="B4" s="3" t="s">
        <v>436</v>
      </c>
      <c r="C4" s="3" t="s">
        <v>437</v>
      </c>
      <c r="D4" s="3" t="s">
        <v>438</v>
      </c>
      <c r="E4" s="3" t="s">
        <v>439</v>
      </c>
      <c r="F4" s="3" t="s">
        <v>440</v>
      </c>
      <c r="G4" s="3" t="s">
        <v>441</v>
      </c>
      <c r="H4" s="3" t="s">
        <v>442</v>
      </c>
      <c r="I4" s="3" t="s">
        <v>443</v>
      </c>
      <c r="J4" s="3" t="s">
        <v>444</v>
      </c>
      <c r="K4" s="3" t="s">
        <v>413</v>
      </c>
    </row>
    <row r="5" customFormat="false" ht="30" hidden="false" customHeight="true" outlineLevel="0" collapsed="false">
      <c r="A5" s="10" t="n">
        <v>1</v>
      </c>
      <c r="B5" s="4" t="s">
        <v>445</v>
      </c>
      <c r="C5" s="24" t="n">
        <v>5</v>
      </c>
      <c r="D5" s="24" t="n">
        <v>10</v>
      </c>
      <c r="E5" s="25" t="n">
        <f aca="false">0</f>
        <v>0</v>
      </c>
      <c r="F5" s="25" t="n">
        <f aca="false">E5+C5</f>
        <v>5</v>
      </c>
      <c r="G5" s="25" t="n">
        <f aca="false">0</f>
        <v>0</v>
      </c>
      <c r="H5" s="25" t="n">
        <f aca="false">G5+D5</f>
        <v>10</v>
      </c>
      <c r="I5" s="25" t="n">
        <f aca="false">F5/Hypothèses!$B$8</f>
        <v>1</v>
      </c>
      <c r="J5" s="25" t="n">
        <f aca="false">H5/Hypothèses!$B$8</f>
        <v>2</v>
      </c>
      <c r="K5" s="4" t="s">
        <v>446</v>
      </c>
    </row>
    <row r="6" customFormat="false" ht="30" hidden="false" customHeight="true" outlineLevel="0" collapsed="false">
      <c r="A6" s="10" t="n">
        <v>2</v>
      </c>
      <c r="B6" s="4" t="s">
        <v>447</v>
      </c>
      <c r="C6" s="24" t="n">
        <v>5</v>
      </c>
      <c r="D6" s="24" t="n">
        <v>15</v>
      </c>
      <c r="E6" s="25" t="n">
        <f aca="false">F5</f>
        <v>5</v>
      </c>
      <c r="F6" s="25" t="n">
        <f aca="false">E6+C6</f>
        <v>10</v>
      </c>
      <c r="G6" s="25" t="n">
        <f aca="false">H5</f>
        <v>10</v>
      </c>
      <c r="H6" s="25" t="n">
        <f aca="false">G6+D6</f>
        <v>25</v>
      </c>
      <c r="I6" s="25" t="n">
        <f aca="false">F6/Hypothèses!$B$8</f>
        <v>2</v>
      </c>
      <c r="J6" s="25" t="n">
        <f aca="false">H6/Hypothèses!$B$8</f>
        <v>5</v>
      </c>
      <c r="K6" s="4" t="s">
        <v>448</v>
      </c>
    </row>
    <row r="7" customFormat="false" ht="30" hidden="false" customHeight="true" outlineLevel="0" collapsed="false">
      <c r="A7" s="10" t="n">
        <v>3</v>
      </c>
      <c r="B7" s="4" t="s">
        <v>449</v>
      </c>
      <c r="C7" s="24" t="n">
        <v>10</v>
      </c>
      <c r="D7" s="24" t="n">
        <v>60</v>
      </c>
      <c r="E7" s="25" t="n">
        <f aca="false">0</f>
        <v>0</v>
      </c>
      <c r="F7" s="25" t="n">
        <f aca="false">E7+C7</f>
        <v>10</v>
      </c>
      <c r="G7" s="25" t="n">
        <f aca="false">0</f>
        <v>0</v>
      </c>
      <c r="H7" s="25" t="n">
        <f aca="false">G7+D7</f>
        <v>60</v>
      </c>
      <c r="I7" s="25" t="n">
        <f aca="false">F7/Hypothèses!$B$8</f>
        <v>2</v>
      </c>
      <c r="J7" s="25" t="n">
        <f aca="false">H7/Hypothèses!$B$8</f>
        <v>12</v>
      </c>
      <c r="K7" s="4" t="s">
        <v>450</v>
      </c>
    </row>
    <row r="8" customFormat="false" ht="30" hidden="false" customHeight="true" outlineLevel="0" collapsed="false">
      <c r="A8" s="10" t="n">
        <v>4</v>
      </c>
      <c r="B8" s="4" t="s">
        <v>451</v>
      </c>
      <c r="C8" s="14" t="n">
        <f aca="false">Installation!$C$5</f>
        <v>2</v>
      </c>
      <c r="D8" s="14" t="n">
        <f aca="false">Installation!$C$5</f>
        <v>2</v>
      </c>
      <c r="E8" s="25" t="n">
        <f aca="false">F6</f>
        <v>10</v>
      </c>
      <c r="F8" s="25" t="n">
        <f aca="false">E8+C8</f>
        <v>12</v>
      </c>
      <c r="G8" s="25" t="n">
        <f aca="false">H6</f>
        <v>25</v>
      </c>
      <c r="H8" s="25" t="n">
        <f aca="false">G8+D8</f>
        <v>27</v>
      </c>
      <c r="I8" s="25" t="n">
        <f aca="false">F8/Hypothèses!$B$8</f>
        <v>2.4</v>
      </c>
      <c r="J8" s="25" t="n">
        <f aca="false">H8/Hypothèses!$B$8</f>
        <v>5.4</v>
      </c>
      <c r="K8" s="4" t="s">
        <v>452</v>
      </c>
    </row>
    <row r="9" customFormat="false" ht="30" hidden="false" customHeight="true" outlineLevel="0" collapsed="false">
      <c r="A9" s="10" t="n">
        <v>5</v>
      </c>
      <c r="B9" s="4" t="s">
        <v>453</v>
      </c>
      <c r="C9" s="14" t="n">
        <f aca="false">(Installation!$C$6+Installation!$C$7)/Hypothèses!$B$7</f>
        <v>12</v>
      </c>
      <c r="D9" s="14" t="n">
        <f aca="false">(Installation!$C$6+Installation!$C$7)/Hypothèses!$B$7</f>
        <v>12</v>
      </c>
      <c r="E9" s="25" t="n">
        <f aca="false">F8</f>
        <v>12</v>
      </c>
      <c r="F9" s="25" t="n">
        <f aca="false">E9+C9</f>
        <v>24</v>
      </c>
      <c r="G9" s="25" t="n">
        <f aca="false">H8</f>
        <v>27</v>
      </c>
      <c r="H9" s="25" t="n">
        <f aca="false">G9+D9</f>
        <v>39</v>
      </c>
      <c r="I9" s="25" t="n">
        <f aca="false">F9/Hypothèses!$B$8</f>
        <v>4.8</v>
      </c>
      <c r="J9" s="25" t="n">
        <f aca="false">H9/Hypothèses!$B$8</f>
        <v>7.8</v>
      </c>
      <c r="K9" s="4" t="s">
        <v>454</v>
      </c>
    </row>
    <row r="10" customFormat="false" ht="30" hidden="false" customHeight="true" outlineLevel="0" collapsed="false">
      <c r="A10" s="10" t="n">
        <v>6</v>
      </c>
      <c r="B10" s="4" t="s">
        <v>455</v>
      </c>
      <c r="C10" s="24" t="n">
        <v>3</v>
      </c>
      <c r="D10" s="24" t="n">
        <v>5</v>
      </c>
      <c r="E10" s="25" t="n">
        <f aca="false">F9</f>
        <v>24</v>
      </c>
      <c r="F10" s="25" t="n">
        <f aca="false">E10+C10</f>
        <v>27</v>
      </c>
      <c r="G10" s="25" t="n">
        <f aca="false">H9</f>
        <v>39</v>
      </c>
      <c r="H10" s="25" t="n">
        <f aca="false">G10+D10</f>
        <v>44</v>
      </c>
      <c r="I10" s="25" t="n">
        <f aca="false">F10/Hypothèses!$B$8</f>
        <v>5.4</v>
      </c>
      <c r="J10" s="25" t="n">
        <f aca="false">H10/Hypothèses!$B$8</f>
        <v>8.8</v>
      </c>
      <c r="K10" s="4" t="s">
        <v>456</v>
      </c>
    </row>
    <row r="11" customFormat="false" ht="30" hidden="false" customHeight="true" outlineLevel="0" collapsed="false">
      <c r="A11" s="10" t="n">
        <v>7</v>
      </c>
      <c r="B11" s="4" t="s">
        <v>457</v>
      </c>
      <c r="C11" s="24" t="n">
        <v>1</v>
      </c>
      <c r="D11" s="24" t="n">
        <v>2</v>
      </c>
      <c r="E11" s="25" t="n">
        <f aca="false">F10</f>
        <v>27</v>
      </c>
      <c r="F11" s="25" t="n">
        <f aca="false">E11+C11</f>
        <v>28</v>
      </c>
      <c r="G11" s="25" t="n">
        <f aca="false">H10</f>
        <v>44</v>
      </c>
      <c r="H11" s="25" t="n">
        <f aca="false">G11+D11</f>
        <v>46</v>
      </c>
      <c r="I11" s="25" t="n">
        <f aca="false">F11/Hypothèses!$B$8</f>
        <v>5.6</v>
      </c>
      <c r="J11" s="25" t="n">
        <f aca="false">H11/Hypothèses!$B$8</f>
        <v>9.2</v>
      </c>
      <c r="K11" s="4" t="s">
        <v>458</v>
      </c>
    </row>
    <row r="12" customFormat="false" ht="15" hidden="false" customHeight="false" outlineLevel="0" collapsed="false">
      <c r="A12" s="11"/>
      <c r="B12" s="7" t="s">
        <v>459</v>
      </c>
      <c r="C12" s="11"/>
      <c r="D12" s="11"/>
      <c r="E12" s="11"/>
      <c r="F12" s="26" t="n">
        <f aca="false">MAX(F11,F7)</f>
        <v>28</v>
      </c>
      <c r="G12" s="11"/>
      <c r="H12" s="26" t="n">
        <f aca="false">MAX(H11,H7)</f>
        <v>60</v>
      </c>
      <c r="I12" s="26" t="n">
        <f aca="false">F12/Hypothèses!$B$8</f>
        <v>5.6</v>
      </c>
      <c r="J12" s="26" t="n">
        <f aca="false">H12/Hypothèses!$B$8</f>
        <v>12</v>
      </c>
      <c r="K12" s="7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461</v>
      </c>
    </row>
    <row r="2" customFormat="false" ht="15" hidden="false" customHeight="false" outlineLevel="0" collapsed="false">
      <c r="A2" s="2" t="s">
        <v>462</v>
      </c>
    </row>
    <row r="4" customFormat="false" ht="21.75" hidden="false" customHeight="true" outlineLevel="0" collapsed="false">
      <c r="A4" s="3" t="s">
        <v>463</v>
      </c>
      <c r="B4" s="3" t="s">
        <v>464</v>
      </c>
      <c r="C4" s="3" t="s">
        <v>465</v>
      </c>
    </row>
    <row r="5" customFormat="false" ht="15" hidden="false" customHeight="false" outlineLevel="0" collapsed="false">
      <c r="A5" s="4" t="s">
        <v>25</v>
      </c>
      <c r="B5" s="27" t="n">
        <v>0.2</v>
      </c>
      <c r="C5" s="4" t="s">
        <v>466</v>
      </c>
    </row>
    <row r="6" customFormat="false" ht="15" hidden="false" customHeight="false" outlineLevel="0" collapsed="false">
      <c r="A6" s="4" t="s">
        <v>467</v>
      </c>
      <c r="B6" s="22" t="n">
        <v>50</v>
      </c>
      <c r="C6" s="4" t="s">
        <v>468</v>
      </c>
    </row>
    <row r="7" customFormat="false" ht="15" hidden="false" customHeight="false" outlineLevel="0" collapsed="false">
      <c r="A7" s="4" t="s">
        <v>469</v>
      </c>
      <c r="B7" s="22" t="n">
        <v>2</v>
      </c>
      <c r="C7" s="4" t="s">
        <v>470</v>
      </c>
    </row>
    <row r="8" customFormat="false" ht="15" hidden="false" customHeight="false" outlineLevel="0" collapsed="false">
      <c r="A8" s="4" t="s">
        <v>471</v>
      </c>
      <c r="B8" s="22" t="n">
        <v>5</v>
      </c>
      <c r="C8" s="4"/>
    </row>
    <row r="9" customFormat="false" ht="15" hidden="false" customHeight="false" outlineLevel="0" collapsed="false">
      <c r="A9" s="4" t="s">
        <v>472</v>
      </c>
      <c r="B9" s="28" t="n">
        <v>650</v>
      </c>
      <c r="C9" s="4" t="s">
        <v>473</v>
      </c>
    </row>
    <row r="10" customFormat="false" ht="15" hidden="false" customHeight="false" outlineLevel="0" collapsed="false">
      <c r="A10" s="4" t="s">
        <v>474</v>
      </c>
      <c r="B10" s="28" t="n">
        <v>450</v>
      </c>
      <c r="C10" s="4" t="s">
        <v>473</v>
      </c>
    </row>
    <row r="11" customFormat="false" ht="15" hidden="false" customHeight="false" outlineLevel="0" collapsed="false">
      <c r="A11" s="4" t="s">
        <v>22</v>
      </c>
      <c r="B11" s="27" t="n">
        <v>0.1</v>
      </c>
      <c r="C11" s="4" t="s">
        <v>475</v>
      </c>
    </row>
    <row r="12" customFormat="false" ht="15" hidden="false" customHeight="false" outlineLevel="0" collapsed="false">
      <c r="A12" s="4" t="s">
        <v>476</v>
      </c>
      <c r="B12" s="28" t="n">
        <v>600</v>
      </c>
      <c r="C12" s="4" t="s">
        <v>477</v>
      </c>
    </row>
    <row r="13" customFormat="false" ht="15" hidden="false" customHeight="false" outlineLevel="0" collapsed="false">
      <c r="A13" s="4" t="s">
        <v>428</v>
      </c>
      <c r="B13" s="28" t="n">
        <v>1750</v>
      </c>
      <c r="C13" s="4" t="s">
        <v>478</v>
      </c>
    </row>
    <row r="14" customFormat="false" ht="15" hidden="false" customHeight="false" outlineLevel="0" collapsed="false">
      <c r="A14" s="4" t="s">
        <v>130</v>
      </c>
      <c r="B14" s="22" t="n">
        <v>0</v>
      </c>
      <c r="C14" s="4" t="s">
        <v>479</v>
      </c>
    </row>
    <row r="15" customFormat="false" ht="15" hidden="false" customHeight="false" outlineLevel="0" collapsed="false">
      <c r="A15" s="4" t="s">
        <v>480</v>
      </c>
      <c r="B15" s="22" t="n">
        <v>4</v>
      </c>
      <c r="C15" s="4" t="s">
        <v>481</v>
      </c>
    </row>
    <row r="16" customFormat="false" ht="15" hidden="false" customHeight="false" outlineLevel="0" collapsed="false">
      <c r="A16" s="4" t="s">
        <v>482</v>
      </c>
      <c r="B16" s="10" t="n">
        <f aca="false">Hypothèses!$B$15+Matériel!E18+Hypothèses!$B$14</f>
        <v>6</v>
      </c>
      <c r="C16" s="29" t="s">
        <v>483</v>
      </c>
    </row>
    <row r="18" customFormat="false" ht="15" hidden="false" customHeight="false" outlineLevel="0" collapsed="false">
      <c r="A18" s="30" t="s">
        <v>484</v>
      </c>
    </row>
    <row r="19" customFormat="false" ht="15" hidden="false" customHeight="false" outlineLevel="0" collapsed="false">
      <c r="A19" s="31" t="s">
        <v>485</v>
      </c>
    </row>
    <row r="20" customFormat="false" ht="15" hidden="false" customHeight="false" outlineLevel="0" collapsed="false">
      <c r="A20" s="31" t="s">
        <v>486</v>
      </c>
    </row>
    <row r="21" customFormat="false" ht="15" hidden="false" customHeight="false" outlineLevel="0" collapsed="false">
      <c r="A21" s="31" t="s">
        <v>487</v>
      </c>
    </row>
    <row r="22" customFormat="false" ht="15" hidden="false" customHeight="false" outlineLevel="0" collapsed="false">
      <c r="A22" s="31" t="s">
        <v>488</v>
      </c>
    </row>
    <row r="23" customFormat="false" ht="15" hidden="false" customHeight="false" outlineLevel="0" collapsed="false">
      <c r="A23" s="31" t="s">
        <v>489</v>
      </c>
    </row>
    <row r="24" customFormat="false" ht="15" hidden="false" customHeight="false" outlineLevel="0" collapsed="false">
      <c r="A24" s="31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2026-10-08T01:13:50Z</dcterms:created>
  <dc:creator>openpyxl</dc:creator>
  <dc:description/>
  <dc:language>en-US</dc:language>
  <cp:lastModifiedBy/>
  <dcterms:modified xsi:type="dcterms:W3CDTF">2026-10-08T01:13:50Z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