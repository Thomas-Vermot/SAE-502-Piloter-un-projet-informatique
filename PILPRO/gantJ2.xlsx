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xda\Downloads\projett\"/>
    </mc:Choice>
  </mc:AlternateContent>
  <xr:revisionPtr revIDLastSave="0" documentId="13_ncr:1_{644BD2F0-55F9-415B-A85D-BCC6333D20C1}" xr6:coauthVersionLast="47" xr6:coauthVersionMax="47" xr10:uidLastSave="{00000000-0000-0000-0000-000000000000}"/>
  <bookViews>
    <workbookView xWindow="-110" yWindow="-110" windowWidth="25820" windowHeight="16220" tabRatio="500" xr2:uid="{00000000-000D-0000-FFFF-FFFF00000000}"/>
  </bookViews>
  <sheets>
    <sheet name="Gantt" sheetId="1" r:id="rId1"/>
    <sheet name="Synthès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" l="1"/>
  <c r="B7" i="2"/>
  <c r="D7" i="2" s="1"/>
  <c r="C6" i="2"/>
  <c r="B6" i="2"/>
  <c r="D6" i="2" s="1"/>
  <c r="C5" i="2"/>
  <c r="B5" i="2"/>
  <c r="D5" i="2" s="1"/>
  <c r="C4" i="2"/>
  <c r="C8" i="2" s="1"/>
  <c r="B4" i="2"/>
  <c r="B8" i="2" s="1"/>
  <c r="U36" i="1"/>
  <c r="T36" i="1"/>
  <c r="S36" i="1"/>
  <c r="R36" i="1"/>
  <c r="Q36" i="1"/>
  <c r="P36" i="1"/>
  <c r="O36" i="1"/>
  <c r="N36" i="1"/>
  <c r="M36" i="1"/>
  <c r="L36" i="1"/>
  <c r="K36" i="1"/>
  <c r="J36" i="1"/>
  <c r="F36" i="1"/>
  <c r="U35" i="1"/>
  <c r="T35" i="1"/>
  <c r="S35" i="1"/>
  <c r="R35" i="1"/>
  <c r="Q35" i="1"/>
  <c r="P35" i="1"/>
  <c r="O35" i="1"/>
  <c r="N35" i="1"/>
  <c r="M35" i="1"/>
  <c r="L35" i="1"/>
  <c r="K35" i="1"/>
  <c r="J35" i="1"/>
  <c r="F35" i="1"/>
  <c r="U34" i="1"/>
  <c r="T34" i="1"/>
  <c r="S34" i="1"/>
  <c r="R34" i="1"/>
  <c r="Q34" i="1"/>
  <c r="P34" i="1"/>
  <c r="O34" i="1"/>
  <c r="N34" i="1"/>
  <c r="M34" i="1"/>
  <c r="L34" i="1"/>
  <c r="K34" i="1"/>
  <c r="J34" i="1"/>
  <c r="F34" i="1"/>
  <c r="U33" i="1"/>
  <c r="T33" i="1"/>
  <c r="S33" i="1"/>
  <c r="R33" i="1"/>
  <c r="Q33" i="1"/>
  <c r="P33" i="1"/>
  <c r="O33" i="1"/>
  <c r="N33" i="1"/>
  <c r="M33" i="1"/>
  <c r="L33" i="1"/>
  <c r="K33" i="1"/>
  <c r="J33" i="1"/>
  <c r="F33" i="1"/>
  <c r="U32" i="1"/>
  <c r="T32" i="1"/>
  <c r="S32" i="1"/>
  <c r="R32" i="1"/>
  <c r="Q32" i="1"/>
  <c r="P32" i="1"/>
  <c r="O32" i="1"/>
  <c r="N32" i="1"/>
  <c r="M32" i="1"/>
  <c r="L32" i="1"/>
  <c r="K32" i="1"/>
  <c r="J32" i="1"/>
  <c r="F32" i="1"/>
  <c r="U31" i="1"/>
  <c r="T31" i="1"/>
  <c r="S31" i="1"/>
  <c r="R31" i="1"/>
  <c r="Q31" i="1"/>
  <c r="P31" i="1"/>
  <c r="O31" i="1"/>
  <c r="N31" i="1"/>
  <c r="M31" i="1"/>
  <c r="L31" i="1"/>
  <c r="K31" i="1"/>
  <c r="J31" i="1"/>
  <c r="F31" i="1"/>
  <c r="U30" i="1"/>
  <c r="T30" i="1"/>
  <c r="S30" i="1"/>
  <c r="R30" i="1"/>
  <c r="Q30" i="1"/>
  <c r="P30" i="1"/>
  <c r="O30" i="1"/>
  <c r="N30" i="1"/>
  <c r="M30" i="1"/>
  <c r="L30" i="1"/>
  <c r="K30" i="1"/>
  <c r="J30" i="1"/>
  <c r="F30" i="1"/>
  <c r="U29" i="1"/>
  <c r="T29" i="1"/>
  <c r="S29" i="1"/>
  <c r="R29" i="1"/>
  <c r="Q29" i="1"/>
  <c r="P29" i="1"/>
  <c r="O29" i="1"/>
  <c r="N29" i="1"/>
  <c r="M29" i="1"/>
  <c r="L29" i="1"/>
  <c r="K29" i="1"/>
  <c r="J29" i="1"/>
  <c r="F29" i="1"/>
  <c r="U28" i="1"/>
  <c r="T28" i="1"/>
  <c r="S28" i="1"/>
  <c r="R28" i="1"/>
  <c r="Q28" i="1"/>
  <c r="P28" i="1"/>
  <c r="O28" i="1"/>
  <c r="N28" i="1"/>
  <c r="M28" i="1"/>
  <c r="L28" i="1"/>
  <c r="K28" i="1"/>
  <c r="J28" i="1"/>
  <c r="F28" i="1"/>
  <c r="U27" i="1"/>
  <c r="T27" i="1"/>
  <c r="S27" i="1"/>
  <c r="R27" i="1"/>
  <c r="Q27" i="1"/>
  <c r="P27" i="1"/>
  <c r="O27" i="1"/>
  <c r="N27" i="1"/>
  <c r="M27" i="1"/>
  <c r="L27" i="1"/>
  <c r="K27" i="1"/>
  <c r="J27" i="1"/>
  <c r="F27" i="1"/>
  <c r="U26" i="1"/>
  <c r="T26" i="1"/>
  <c r="S26" i="1"/>
  <c r="R26" i="1"/>
  <c r="Q26" i="1"/>
  <c r="P26" i="1"/>
  <c r="O26" i="1"/>
  <c r="N26" i="1"/>
  <c r="M26" i="1"/>
  <c r="L26" i="1"/>
  <c r="K26" i="1"/>
  <c r="J26" i="1"/>
  <c r="F26" i="1"/>
  <c r="U25" i="1"/>
  <c r="T25" i="1"/>
  <c r="S25" i="1"/>
  <c r="R25" i="1"/>
  <c r="Q25" i="1"/>
  <c r="P25" i="1"/>
  <c r="O25" i="1"/>
  <c r="N25" i="1"/>
  <c r="M25" i="1"/>
  <c r="L25" i="1"/>
  <c r="K25" i="1"/>
  <c r="J25" i="1"/>
  <c r="F25" i="1"/>
  <c r="U24" i="1"/>
  <c r="T24" i="1"/>
  <c r="S24" i="1"/>
  <c r="R24" i="1"/>
  <c r="Q24" i="1"/>
  <c r="P24" i="1"/>
  <c r="O24" i="1"/>
  <c r="N24" i="1"/>
  <c r="M24" i="1"/>
  <c r="L24" i="1"/>
  <c r="K24" i="1"/>
  <c r="J24" i="1"/>
  <c r="F24" i="1"/>
  <c r="U23" i="1"/>
  <c r="T23" i="1"/>
  <c r="S23" i="1"/>
  <c r="R23" i="1"/>
  <c r="Q23" i="1"/>
  <c r="P23" i="1"/>
  <c r="O23" i="1"/>
  <c r="N23" i="1"/>
  <c r="M23" i="1"/>
  <c r="L23" i="1"/>
  <c r="K23" i="1"/>
  <c r="J23" i="1"/>
  <c r="F23" i="1"/>
  <c r="U22" i="1"/>
  <c r="T22" i="1"/>
  <c r="S22" i="1"/>
  <c r="R22" i="1"/>
  <c r="Q22" i="1"/>
  <c r="P22" i="1"/>
  <c r="O22" i="1"/>
  <c r="N22" i="1"/>
  <c r="M22" i="1"/>
  <c r="L22" i="1"/>
  <c r="K22" i="1"/>
  <c r="J22" i="1"/>
  <c r="F22" i="1"/>
  <c r="U21" i="1"/>
  <c r="T21" i="1"/>
  <c r="S21" i="1"/>
  <c r="R21" i="1"/>
  <c r="Q21" i="1"/>
  <c r="P21" i="1"/>
  <c r="O21" i="1"/>
  <c r="N21" i="1"/>
  <c r="M21" i="1"/>
  <c r="L21" i="1"/>
  <c r="K21" i="1"/>
  <c r="J21" i="1"/>
  <c r="F21" i="1"/>
  <c r="U20" i="1"/>
  <c r="T20" i="1"/>
  <c r="S20" i="1"/>
  <c r="R20" i="1"/>
  <c r="Q20" i="1"/>
  <c r="P20" i="1"/>
  <c r="O20" i="1"/>
  <c r="N20" i="1"/>
  <c r="M20" i="1"/>
  <c r="L20" i="1"/>
  <c r="K20" i="1"/>
  <c r="J20" i="1"/>
  <c r="F20" i="1"/>
  <c r="U19" i="1"/>
  <c r="T19" i="1"/>
  <c r="S19" i="1"/>
  <c r="R19" i="1"/>
  <c r="Q19" i="1"/>
  <c r="P19" i="1"/>
  <c r="O19" i="1"/>
  <c r="N19" i="1"/>
  <c r="M19" i="1"/>
  <c r="L19" i="1"/>
  <c r="K19" i="1"/>
  <c r="J19" i="1"/>
  <c r="F19" i="1"/>
  <c r="U18" i="1"/>
  <c r="T18" i="1"/>
  <c r="S18" i="1"/>
  <c r="R18" i="1"/>
  <c r="Q18" i="1"/>
  <c r="P18" i="1"/>
  <c r="O18" i="1"/>
  <c r="N18" i="1"/>
  <c r="M18" i="1"/>
  <c r="L18" i="1"/>
  <c r="K18" i="1"/>
  <c r="J18" i="1"/>
  <c r="F18" i="1"/>
  <c r="U17" i="1"/>
  <c r="T17" i="1"/>
  <c r="S17" i="1"/>
  <c r="R17" i="1"/>
  <c r="Q17" i="1"/>
  <c r="P17" i="1"/>
  <c r="O17" i="1"/>
  <c r="N17" i="1"/>
  <c r="M17" i="1"/>
  <c r="L17" i="1"/>
  <c r="K17" i="1"/>
  <c r="J17" i="1"/>
  <c r="F17" i="1"/>
  <c r="U16" i="1"/>
  <c r="T16" i="1"/>
  <c r="S16" i="1"/>
  <c r="R16" i="1"/>
  <c r="Q16" i="1"/>
  <c r="P16" i="1"/>
  <c r="O16" i="1"/>
  <c r="N16" i="1"/>
  <c r="M16" i="1"/>
  <c r="L16" i="1"/>
  <c r="K16" i="1"/>
  <c r="J16" i="1"/>
  <c r="F16" i="1"/>
  <c r="U15" i="1"/>
  <c r="T15" i="1"/>
  <c r="S15" i="1"/>
  <c r="R15" i="1"/>
  <c r="Q15" i="1"/>
  <c r="P15" i="1"/>
  <c r="O15" i="1"/>
  <c r="N15" i="1"/>
  <c r="M15" i="1"/>
  <c r="L15" i="1"/>
  <c r="K15" i="1"/>
  <c r="J15" i="1"/>
  <c r="F15" i="1"/>
  <c r="U14" i="1"/>
  <c r="T14" i="1"/>
  <c r="S14" i="1"/>
  <c r="R14" i="1"/>
  <c r="Q14" i="1"/>
  <c r="P14" i="1"/>
  <c r="O14" i="1"/>
  <c r="N14" i="1"/>
  <c r="M14" i="1"/>
  <c r="L14" i="1"/>
  <c r="K14" i="1"/>
  <c r="J14" i="1"/>
  <c r="F14" i="1"/>
  <c r="U13" i="1"/>
  <c r="T13" i="1"/>
  <c r="S13" i="1"/>
  <c r="R13" i="1"/>
  <c r="Q13" i="1"/>
  <c r="P13" i="1"/>
  <c r="O13" i="1"/>
  <c r="N13" i="1"/>
  <c r="M13" i="1"/>
  <c r="L13" i="1"/>
  <c r="K13" i="1"/>
  <c r="J13" i="1"/>
  <c r="F13" i="1"/>
  <c r="U12" i="1"/>
  <c r="T12" i="1"/>
  <c r="S12" i="1"/>
  <c r="R12" i="1"/>
  <c r="Q12" i="1"/>
  <c r="P12" i="1"/>
  <c r="O12" i="1"/>
  <c r="N12" i="1"/>
  <c r="M12" i="1"/>
  <c r="L12" i="1"/>
  <c r="K12" i="1"/>
  <c r="J12" i="1"/>
  <c r="F12" i="1"/>
  <c r="U11" i="1"/>
  <c r="T11" i="1"/>
  <c r="S11" i="1"/>
  <c r="R11" i="1"/>
  <c r="Q11" i="1"/>
  <c r="P11" i="1"/>
  <c r="O11" i="1"/>
  <c r="N11" i="1"/>
  <c r="M11" i="1"/>
  <c r="L11" i="1"/>
  <c r="K11" i="1"/>
  <c r="J11" i="1"/>
  <c r="F11" i="1"/>
  <c r="U10" i="1"/>
  <c r="T10" i="1"/>
  <c r="S10" i="1"/>
  <c r="R10" i="1"/>
  <c r="Q10" i="1"/>
  <c r="P10" i="1"/>
  <c r="O10" i="1"/>
  <c r="N10" i="1"/>
  <c r="M10" i="1"/>
  <c r="L10" i="1"/>
  <c r="K10" i="1"/>
  <c r="J10" i="1"/>
  <c r="F10" i="1"/>
  <c r="U9" i="1"/>
  <c r="T9" i="1"/>
  <c r="S9" i="1"/>
  <c r="R9" i="1"/>
  <c r="Q9" i="1"/>
  <c r="P9" i="1"/>
  <c r="O9" i="1"/>
  <c r="N9" i="1"/>
  <c r="M9" i="1"/>
  <c r="L9" i="1"/>
  <c r="K9" i="1"/>
  <c r="J9" i="1"/>
  <c r="F9" i="1"/>
  <c r="U8" i="1"/>
  <c r="T8" i="1"/>
  <c r="S8" i="1"/>
  <c r="R8" i="1"/>
  <c r="Q8" i="1"/>
  <c r="P8" i="1"/>
  <c r="O8" i="1"/>
  <c r="N8" i="1"/>
  <c r="M8" i="1"/>
  <c r="L8" i="1"/>
  <c r="K8" i="1"/>
  <c r="J8" i="1"/>
  <c r="F8" i="1"/>
  <c r="U7" i="1"/>
  <c r="T7" i="1"/>
  <c r="S7" i="1"/>
  <c r="R7" i="1"/>
  <c r="Q7" i="1"/>
  <c r="P7" i="1"/>
  <c r="O7" i="1"/>
  <c r="N7" i="1"/>
  <c r="M7" i="1"/>
  <c r="L7" i="1"/>
  <c r="K7" i="1"/>
  <c r="J7" i="1"/>
  <c r="F7" i="1"/>
  <c r="U6" i="1"/>
  <c r="T6" i="1"/>
  <c r="S6" i="1"/>
  <c r="R6" i="1"/>
  <c r="Q6" i="1"/>
  <c r="P6" i="1"/>
  <c r="O6" i="1"/>
  <c r="N6" i="1"/>
  <c r="M6" i="1"/>
  <c r="L6" i="1"/>
  <c r="K6" i="1"/>
  <c r="J6" i="1"/>
  <c r="F6" i="1"/>
  <c r="U5" i="1"/>
  <c r="T5" i="1"/>
  <c r="S5" i="1"/>
  <c r="R5" i="1"/>
  <c r="Q5" i="1"/>
  <c r="P5" i="1"/>
  <c r="O5" i="1"/>
  <c r="N5" i="1"/>
  <c r="M5" i="1"/>
  <c r="L5" i="1"/>
  <c r="K5" i="1"/>
  <c r="J5" i="1"/>
  <c r="F5" i="1"/>
  <c r="U4" i="1"/>
  <c r="T4" i="1"/>
  <c r="S4" i="1"/>
  <c r="R4" i="1"/>
  <c r="Q4" i="1"/>
  <c r="P4" i="1"/>
  <c r="O4" i="1"/>
  <c r="N4" i="1"/>
  <c r="M4" i="1"/>
  <c r="L4" i="1"/>
  <c r="K4" i="1"/>
  <c r="J4" i="1"/>
  <c r="F4" i="1"/>
  <c r="F38" i="1" s="1"/>
  <c r="D4" i="2" l="1"/>
  <c r="D8" i="2" s="1"/>
</calcChain>
</file>

<file path=xl/sharedStrings.xml><?xml version="1.0" encoding="utf-8"?>
<sst xmlns="http://schemas.openxmlformats.org/spreadsheetml/2006/main" count="157" uniqueCount="65">
  <si>
    <t>PLANNING GANTT — PROJET PILPRO</t>
  </si>
  <si>
    <t>N°</t>
  </si>
  <si>
    <t>Jour</t>
  </si>
  <si>
    <t>Tâche</t>
  </si>
  <si>
    <t>Début</t>
  </si>
  <si>
    <t>Fin</t>
  </si>
  <si>
    <t>Durée (h)</t>
  </si>
  <si>
    <t>Type</t>
  </si>
  <si>
    <t>Statut</t>
  </si>
  <si>
    <t>Avancement</t>
  </si>
  <si>
    <t>Mer 07/10</t>
  </si>
  <si>
    <t>Analyse du cahier des charges</t>
  </si>
  <si>
    <t>Normal</t>
  </si>
  <si>
    <t>Terminé</t>
  </si>
  <si>
    <t>Trello : déclaration du projet, du groupe + captures</t>
  </si>
  <si>
    <t>À faire</t>
  </si>
  <si>
    <t>Définition des besoins et contraintes</t>
  </si>
  <si>
    <t>Rendu TP : rapport PowerPoint</t>
  </si>
  <si>
    <t>Rendu TP : export PDF + vérification</t>
  </si>
  <si>
    <t>Conception de l'architecture réseau</t>
  </si>
  <si>
    <t>Schéma réseau + architecture détaillée</t>
  </si>
  <si>
    <t>En attente/Bloqué</t>
  </si>
  <si>
    <t>Soir : vérification de l'architecture</t>
  </si>
  <si>
    <t>Heure sup</t>
  </si>
  <si>
    <t>Jeu 08/10</t>
  </si>
  <si>
    <t>Plan d'adressage IP</t>
  </si>
  <si>
    <t>Cahier financier</t>
  </si>
  <si>
    <t>En cours</t>
  </si>
  <si>
    <t>Gantt</t>
  </si>
  <si>
    <t>Préparation des équipements</t>
  </si>
  <si>
    <t>IDS et alerte</t>
  </si>
  <si>
    <t>Configuration réseau / VLAN / routage</t>
  </si>
  <si>
    <t>Config Node-RED</t>
  </si>
  <si>
    <t>DHCP/DNS (Windows Server)</t>
  </si>
  <si>
    <t>Configuration FortiGate</t>
  </si>
  <si>
    <t>Configuration borne wifi</t>
  </si>
  <si>
    <t>Attente de test</t>
  </si>
  <si>
    <t>Contact entreprise</t>
  </si>
  <si>
    <t>Soir : vérifications de la configuration</t>
  </si>
  <si>
    <t>Ven 09/10</t>
  </si>
  <si>
    <t>VPN / IPsec</t>
  </si>
  <si>
    <t>Plan bâtiment</t>
  </si>
  <si>
    <t>Évaluation des risques</t>
  </si>
  <si>
    <t>SD-WAN</t>
  </si>
  <si>
    <t>Partages NFS selon statut utilisateurs</t>
  </si>
  <si>
    <t>Zabbix / supervision</t>
  </si>
  <si>
    <t>Liste des données sensibles</t>
  </si>
  <si>
    <t>Attaque et contre-mesure</t>
  </si>
  <si>
    <t>Configuration badgeuse</t>
  </si>
  <si>
    <t>Pentest du réseau</t>
  </si>
  <si>
    <t>Téléphonie Xlite (optionnel)</t>
  </si>
  <si>
    <t>Configuration ouverture de porte</t>
  </si>
  <si>
    <t>Soir : tests badgeuse / porte</t>
  </si>
  <si>
    <t>TOTAL</t>
  </si>
  <si>
    <t>Légende :</t>
  </si>
  <si>
    <t>Heures normales</t>
  </si>
  <si>
    <t>Heures supplémentaires (soir)</t>
  </si>
  <si>
    <t>Note :</t>
  </si>
  <si>
    <t>SYNTHÈSE DU PROJET PILPRO</t>
  </si>
  <si>
    <t>Heures sup.</t>
  </si>
  <si>
    <t>Total (h)</t>
  </si>
  <si>
    <t>Aujourd'hui</t>
  </si>
  <si>
    <t>07/10</t>
  </si>
  <si>
    <t>08/10</t>
  </si>
  <si>
    <t>09/10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</si>
</sst>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sz val="8"/>
      <color rgb="FFFFFFFF"/>
      <name val="Arial"/>
      <charset val="1"/>
    </font>
    <font>
      <b/>
      <sz val="10"/>
      <name val="Arial"/>
      <charset val="1"/>
    </font>
    <font>
      <sz val="9"/>
      <color rgb="FFFFFFFF"/>
      <name val="Arial"/>
      <charset val="1"/>
    </font>
    <font>
      <i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9" fillId="0" borderId="0" xfId="0" applyFont="1"/>
    <xf numFmtId="0" fontId="8" fillId="8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0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7" fillId="0" borderId="1" xfId="0" applyFont="1" applyBorder="1"/>
    <xf numFmtId="2" fontId="7" fillId="0" borderId="1" xfId="0" applyNumberFormat="1" applyFont="1" applyBorder="1"/>
    <xf numFmtId="0" fontId="7" fillId="0" borderId="0" xfId="0" applyFont="1"/>
    <xf numFmtId="0" fontId="8" fillId="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ED7D31"/>
        </patternFill>
      </fill>
    </dxf>
    <dxf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Répartition des heures par jour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Synthèse!$B$3</c:f>
              <c:strCache>
                <c:ptCount val="1"/>
                <c:pt idx="0">
                  <c:v>Heures normales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Synthèse!$A$4:$A$7</c:f>
              <c:strCache>
                <c:ptCount val="4"/>
                <c:pt idx="0">
                  <c:v>Aujourd'hui</c:v>
                </c:pt>
                <c:pt idx="1">
                  <c:v>07/10</c:v>
                </c:pt>
                <c:pt idx="2">
                  <c:v>08/10</c:v>
                </c:pt>
                <c:pt idx="3">
                  <c:v>09/10</c:v>
                </c:pt>
              </c:strCache>
            </c:strRef>
          </c:cat>
          <c:val>
            <c:numRef>
              <c:f>Synthèse!$B$4:$B$7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E-412B-B3C4-1CA5E81B68F4}"/>
            </c:ext>
          </c:extLst>
        </c:ser>
        <c:ser>
          <c:idx val="1"/>
          <c:order val="1"/>
          <c:tx>
            <c:strRef>
              <c:f>Synthèse!$C$3</c:f>
              <c:strCache>
                <c:ptCount val="1"/>
                <c:pt idx="0">
                  <c:v>Heures sup.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Synthèse!$A$4:$A$7</c:f>
              <c:strCache>
                <c:ptCount val="4"/>
                <c:pt idx="0">
                  <c:v>Aujourd'hui</c:v>
                </c:pt>
                <c:pt idx="1">
                  <c:v>07/10</c:v>
                </c:pt>
                <c:pt idx="2">
                  <c:v>08/10</c:v>
                </c:pt>
                <c:pt idx="3">
                  <c:v>09/10</c:v>
                </c:pt>
              </c:strCache>
            </c:strRef>
          </c:cat>
          <c:val>
            <c:numRef>
              <c:f>Synthèse!$C$4:$C$7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E-412B-B3C4-1CA5E81B6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44712"/>
        <c:axId val="74759587"/>
      </c:barChart>
      <c:catAx>
        <c:axId val="413447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759587"/>
        <c:crosses val="autoZero"/>
        <c:auto val="1"/>
        <c:lblAlgn val="ctr"/>
        <c:lblOffset val="100"/>
        <c:noMultiLvlLbl val="0"/>
      </c:catAx>
      <c:valAx>
        <c:axId val="74759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Heures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344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588960</xdr:colOff>
      <xdr:row>26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showGridLines="0" tabSelected="1" zoomScaleNormal="100" workbookViewId="0">
      <pane ySplit="3" topLeftCell="A4" activePane="bottomLeft" state="frozen"/>
      <selection pane="bottomLeft" activeCell="C41" sqref="C41:U41"/>
    </sheetView>
  </sheetViews>
  <sheetFormatPr baseColWidth="10" defaultColWidth="8.6328125" defaultRowHeight="14.5" x14ac:dyDescent="0.35"/>
  <cols>
    <col min="1" max="1" width="5" customWidth="1"/>
    <col min="2" max="2" width="12" customWidth="1"/>
    <col min="3" max="3" width="42" customWidth="1"/>
    <col min="4" max="5" width="8" customWidth="1"/>
    <col min="6" max="6" width="10" customWidth="1"/>
    <col min="7" max="9" width="12" customWidth="1"/>
    <col min="10" max="21" width="6.54296875" customWidth="1"/>
  </cols>
  <sheetData>
    <row r="1" spans="1:21" ht="27.7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21.75" customHeigh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>
        <v>0.33333333333333298</v>
      </c>
      <c r="K3" s="6">
        <v>0.375</v>
      </c>
      <c r="L3" s="6">
        <v>0.41666666666666702</v>
      </c>
      <c r="M3" s="6">
        <v>0.45833333333333298</v>
      </c>
      <c r="N3" s="6">
        <v>0.5</v>
      </c>
      <c r="O3" s="6">
        <v>0.54166666666666696</v>
      </c>
      <c r="P3" s="6">
        <v>0.58333333333333304</v>
      </c>
      <c r="Q3" s="6">
        <v>0.625</v>
      </c>
      <c r="R3" s="6">
        <v>0.66666666666666696</v>
      </c>
      <c r="S3" s="6">
        <v>0.70833333333333304</v>
      </c>
      <c r="T3" s="6">
        <v>0.75</v>
      </c>
      <c r="U3" s="6">
        <v>0.79166666666666696</v>
      </c>
    </row>
    <row r="4" spans="1:21" ht="15" customHeight="1" x14ac:dyDescent="0.35">
      <c r="A4" s="7">
        <v>1</v>
      </c>
      <c r="B4" s="8" t="s">
        <v>10</v>
      </c>
      <c r="C4" s="9" t="s">
        <v>11</v>
      </c>
      <c r="D4" s="10">
        <v>0.33333333333333298</v>
      </c>
      <c r="E4" s="10">
        <v>0.41666666666666702</v>
      </c>
      <c r="F4" s="11">
        <f t="shared" ref="F4:F36" si="0">(E4-D4)*24</f>
        <v>2.0000000000000169</v>
      </c>
      <c r="G4" s="7" t="s">
        <v>12</v>
      </c>
      <c r="H4" s="7" t="s">
        <v>13</v>
      </c>
      <c r="I4" s="12">
        <v>1</v>
      </c>
      <c r="J4" s="13" t="str">
        <f t="shared" ref="J4:J36" si="1">IF(AND($J$3&gt;=$D4,$J$3&lt;$E4),$G4,"")</f>
        <v>Normal</v>
      </c>
      <c r="K4" s="13" t="str">
        <f t="shared" ref="K4:K36" si="2">IF(AND($K$3&gt;=$D4,$K$3&lt;$E4),$G4,"")</f>
        <v>Normal</v>
      </c>
      <c r="L4" s="13" t="str">
        <f t="shared" ref="L4:L36" si="3">IF(AND($L$3&gt;=$D4,$L$3&lt;$E4),$G4,"")</f>
        <v/>
      </c>
      <c r="M4" s="13" t="str">
        <f t="shared" ref="M4:M36" si="4">IF(AND($M$3&gt;=$D4,$M$3&lt;$E4),$G4,"")</f>
        <v/>
      </c>
      <c r="N4" s="13" t="str">
        <f t="shared" ref="N4:N36" si="5">IF(AND($N$3&gt;=$D4,$N$3&lt;$E4),$G4,"")</f>
        <v/>
      </c>
      <c r="O4" s="13" t="str">
        <f t="shared" ref="O4:O36" si="6">IF(AND($O$3&gt;=$D4,$O$3&lt;$E4),$G4,"")</f>
        <v/>
      </c>
      <c r="P4" s="13" t="str">
        <f t="shared" ref="P4:P36" si="7">IF(AND($P$3&gt;=$D4,$P$3&lt;$E4),$G4,"")</f>
        <v/>
      </c>
      <c r="Q4" s="13" t="str">
        <f t="shared" ref="Q4:Q36" si="8">IF(AND($Q$3&gt;=$D4,$Q$3&lt;$E4),$G4,"")</f>
        <v/>
      </c>
      <c r="R4" s="13" t="str">
        <f t="shared" ref="R4:R36" si="9">IF(AND($R$3&gt;=$D4,$R$3&lt;$E4),$G4,"")</f>
        <v/>
      </c>
      <c r="S4" s="13" t="str">
        <f t="shared" ref="S4:S36" si="10">IF(AND($S$3&gt;=$D4,$S$3&lt;$E4),$G4,"")</f>
        <v/>
      </c>
      <c r="T4" s="13" t="str">
        <f t="shared" ref="T4:T36" si="11">IF(AND($T$3&gt;=$D4,$T$3&lt;$E4),$G4,"")</f>
        <v/>
      </c>
      <c r="U4" s="13" t="str">
        <f t="shared" ref="U4:U36" si="12">IF(AND($U$3&gt;=$D4,$U$3&lt;$E4),$G4,"")</f>
        <v/>
      </c>
    </row>
    <row r="5" spans="1:21" ht="15" customHeight="1" x14ac:dyDescent="0.35">
      <c r="A5" s="7">
        <v>2</v>
      </c>
      <c r="B5" s="8" t="s">
        <v>10</v>
      </c>
      <c r="C5" s="9" t="s">
        <v>14</v>
      </c>
      <c r="D5" s="10">
        <v>0.375</v>
      </c>
      <c r="E5" s="10">
        <v>0.45833333333333298</v>
      </c>
      <c r="F5" s="11">
        <f t="shared" si="0"/>
        <v>1.9999999999999916</v>
      </c>
      <c r="G5" s="7" t="s">
        <v>12</v>
      </c>
      <c r="H5" s="7" t="s">
        <v>15</v>
      </c>
      <c r="I5" s="12">
        <v>0</v>
      </c>
      <c r="J5" s="13" t="str">
        <f t="shared" si="1"/>
        <v/>
      </c>
      <c r="K5" s="13" t="str">
        <f t="shared" si="2"/>
        <v>Normal</v>
      </c>
      <c r="L5" s="13" t="str">
        <f t="shared" si="3"/>
        <v>Normal</v>
      </c>
      <c r="M5" s="13" t="str">
        <f t="shared" si="4"/>
        <v/>
      </c>
      <c r="N5" s="13" t="str">
        <f t="shared" si="5"/>
        <v/>
      </c>
      <c r="O5" s="13" t="str">
        <f t="shared" si="6"/>
        <v/>
      </c>
      <c r="P5" s="13" t="str">
        <f t="shared" si="7"/>
        <v/>
      </c>
      <c r="Q5" s="13" t="str">
        <f t="shared" si="8"/>
        <v/>
      </c>
      <c r="R5" s="13" t="str">
        <f t="shared" si="9"/>
        <v/>
      </c>
      <c r="S5" s="13" t="str">
        <f t="shared" si="10"/>
        <v/>
      </c>
      <c r="T5" s="13" t="str">
        <f t="shared" si="11"/>
        <v/>
      </c>
      <c r="U5" s="13" t="str">
        <f t="shared" si="12"/>
        <v/>
      </c>
    </row>
    <row r="6" spans="1:21" ht="15" customHeight="1" x14ac:dyDescent="0.35">
      <c r="A6" s="7">
        <v>3</v>
      </c>
      <c r="B6" s="8" t="s">
        <v>10</v>
      </c>
      <c r="C6" s="9" t="s">
        <v>16</v>
      </c>
      <c r="D6" s="10">
        <v>0.41666666666666702</v>
      </c>
      <c r="E6" s="10">
        <v>0.5</v>
      </c>
      <c r="F6" s="11">
        <f t="shared" si="0"/>
        <v>1.9999999999999916</v>
      </c>
      <c r="G6" s="7" t="s">
        <v>12</v>
      </c>
      <c r="H6" s="7" t="s">
        <v>13</v>
      </c>
      <c r="I6" s="12">
        <v>1</v>
      </c>
      <c r="J6" s="13" t="str">
        <f t="shared" si="1"/>
        <v/>
      </c>
      <c r="K6" s="13" t="str">
        <f t="shared" si="2"/>
        <v/>
      </c>
      <c r="L6" s="13" t="str">
        <f t="shared" si="3"/>
        <v>Normal</v>
      </c>
      <c r="M6" s="13" t="str">
        <f t="shared" si="4"/>
        <v>Normal</v>
      </c>
      <c r="N6" s="13" t="str">
        <f t="shared" si="5"/>
        <v/>
      </c>
      <c r="O6" s="13" t="str">
        <f t="shared" si="6"/>
        <v/>
      </c>
      <c r="P6" s="13" t="str">
        <f t="shared" si="7"/>
        <v/>
      </c>
      <c r="Q6" s="13" t="str">
        <f t="shared" si="8"/>
        <v/>
      </c>
      <c r="R6" s="13" t="str">
        <f t="shared" si="9"/>
        <v/>
      </c>
      <c r="S6" s="13" t="str">
        <f t="shared" si="10"/>
        <v/>
      </c>
      <c r="T6" s="13" t="str">
        <f t="shared" si="11"/>
        <v/>
      </c>
      <c r="U6" s="13" t="str">
        <f t="shared" si="12"/>
        <v/>
      </c>
    </row>
    <row r="7" spans="1:21" ht="15" customHeight="1" x14ac:dyDescent="0.35">
      <c r="A7" s="7">
        <v>4</v>
      </c>
      <c r="B7" s="8" t="s">
        <v>10</v>
      </c>
      <c r="C7" s="9" t="s">
        <v>17</v>
      </c>
      <c r="D7" s="10">
        <v>0.45833333333333298</v>
      </c>
      <c r="E7" s="10">
        <v>0.54166666666666696</v>
      </c>
      <c r="F7" s="11">
        <f t="shared" si="0"/>
        <v>2.0000000000000155</v>
      </c>
      <c r="G7" s="7" t="s">
        <v>12</v>
      </c>
      <c r="H7" s="7" t="s">
        <v>15</v>
      </c>
      <c r="I7" s="12">
        <v>0</v>
      </c>
      <c r="J7" s="13" t="str">
        <f t="shared" si="1"/>
        <v/>
      </c>
      <c r="K7" s="13" t="str">
        <f t="shared" si="2"/>
        <v/>
      </c>
      <c r="L7" s="13" t="str">
        <f t="shared" si="3"/>
        <v/>
      </c>
      <c r="M7" s="13" t="str">
        <f t="shared" si="4"/>
        <v>Normal</v>
      </c>
      <c r="N7" s="13" t="str">
        <f t="shared" si="5"/>
        <v>Normal</v>
      </c>
      <c r="O7" s="13" t="str">
        <f t="shared" si="6"/>
        <v/>
      </c>
      <c r="P7" s="13" t="str">
        <f t="shared" si="7"/>
        <v/>
      </c>
      <c r="Q7" s="13" t="str">
        <f t="shared" si="8"/>
        <v/>
      </c>
      <c r="R7" s="13" t="str">
        <f t="shared" si="9"/>
        <v/>
      </c>
      <c r="S7" s="13" t="str">
        <f t="shared" si="10"/>
        <v/>
      </c>
      <c r="T7" s="13" t="str">
        <f t="shared" si="11"/>
        <v/>
      </c>
      <c r="U7" s="13" t="str">
        <f t="shared" si="12"/>
        <v/>
      </c>
    </row>
    <row r="8" spans="1:21" ht="15" customHeight="1" x14ac:dyDescent="0.35">
      <c r="A8" s="7">
        <v>5</v>
      </c>
      <c r="B8" s="8" t="s">
        <v>10</v>
      </c>
      <c r="C8" s="9" t="s">
        <v>18</v>
      </c>
      <c r="D8" s="10">
        <v>0.54166666666666696</v>
      </c>
      <c r="E8" s="10">
        <v>0.5625</v>
      </c>
      <c r="F8" s="11">
        <f t="shared" si="0"/>
        <v>0.49999999999999289</v>
      </c>
      <c r="G8" s="7" t="s">
        <v>12</v>
      </c>
      <c r="H8" s="7" t="s">
        <v>15</v>
      </c>
      <c r="I8" s="12">
        <v>0</v>
      </c>
      <c r="J8" s="13" t="str">
        <f t="shared" si="1"/>
        <v/>
      </c>
      <c r="K8" s="13" t="str">
        <f t="shared" si="2"/>
        <v/>
      </c>
      <c r="L8" s="13" t="str">
        <f t="shared" si="3"/>
        <v/>
      </c>
      <c r="M8" s="13" t="str">
        <f t="shared" si="4"/>
        <v/>
      </c>
      <c r="N8" s="13" t="str">
        <f t="shared" si="5"/>
        <v/>
      </c>
      <c r="O8" s="13" t="str">
        <f t="shared" si="6"/>
        <v>Normal</v>
      </c>
      <c r="P8" s="13" t="str">
        <f t="shared" si="7"/>
        <v/>
      </c>
      <c r="Q8" s="13" t="str">
        <f t="shared" si="8"/>
        <v/>
      </c>
      <c r="R8" s="13" t="str">
        <f t="shared" si="9"/>
        <v/>
      </c>
      <c r="S8" s="13" t="str">
        <f t="shared" si="10"/>
        <v/>
      </c>
      <c r="T8" s="13" t="str">
        <f t="shared" si="11"/>
        <v/>
      </c>
      <c r="U8" s="13" t="str">
        <f t="shared" si="12"/>
        <v/>
      </c>
    </row>
    <row r="9" spans="1:21" ht="15" customHeight="1" x14ac:dyDescent="0.35">
      <c r="A9" s="7">
        <v>6</v>
      </c>
      <c r="B9" s="8" t="s">
        <v>10</v>
      </c>
      <c r="C9" s="9" t="s">
        <v>19</v>
      </c>
      <c r="D9" s="10">
        <v>0.54166666666666696</v>
      </c>
      <c r="E9" s="10">
        <v>0.625</v>
      </c>
      <c r="F9" s="11">
        <f t="shared" si="0"/>
        <v>1.9999999999999929</v>
      </c>
      <c r="G9" s="7" t="s">
        <v>12</v>
      </c>
      <c r="H9" s="7" t="s">
        <v>13</v>
      </c>
      <c r="I9" s="12">
        <v>1</v>
      </c>
      <c r="J9" s="13" t="str">
        <f t="shared" si="1"/>
        <v/>
      </c>
      <c r="K9" s="13" t="str">
        <f t="shared" si="2"/>
        <v/>
      </c>
      <c r="L9" s="13" t="str">
        <f t="shared" si="3"/>
        <v/>
      </c>
      <c r="M9" s="13" t="str">
        <f t="shared" si="4"/>
        <v/>
      </c>
      <c r="N9" s="13" t="str">
        <f t="shared" si="5"/>
        <v/>
      </c>
      <c r="O9" s="13" t="str">
        <f t="shared" si="6"/>
        <v>Normal</v>
      </c>
      <c r="P9" s="13" t="str">
        <f t="shared" si="7"/>
        <v>Normal</v>
      </c>
      <c r="Q9" s="13" t="str">
        <f t="shared" si="8"/>
        <v/>
      </c>
      <c r="R9" s="13" t="str">
        <f t="shared" si="9"/>
        <v/>
      </c>
      <c r="S9" s="13" t="str">
        <f t="shared" si="10"/>
        <v/>
      </c>
      <c r="T9" s="13" t="str">
        <f t="shared" si="11"/>
        <v/>
      </c>
      <c r="U9" s="13" t="str">
        <f t="shared" si="12"/>
        <v/>
      </c>
    </row>
    <row r="10" spans="1:21" ht="15" customHeight="1" x14ac:dyDescent="0.35">
      <c r="A10" s="7">
        <v>7</v>
      </c>
      <c r="B10" s="8" t="s">
        <v>10</v>
      </c>
      <c r="C10" s="9" t="s">
        <v>20</v>
      </c>
      <c r="D10" s="10">
        <v>0.625</v>
      </c>
      <c r="E10" s="10">
        <v>0.75</v>
      </c>
      <c r="F10" s="11">
        <f t="shared" si="0"/>
        <v>3</v>
      </c>
      <c r="G10" s="7" t="s">
        <v>12</v>
      </c>
      <c r="H10" s="7" t="s">
        <v>21</v>
      </c>
      <c r="I10" s="12">
        <v>0</v>
      </c>
      <c r="J10" s="13" t="str">
        <f t="shared" si="1"/>
        <v/>
      </c>
      <c r="K10" s="13" t="str">
        <f t="shared" si="2"/>
        <v/>
      </c>
      <c r="L10" s="13" t="str">
        <f t="shared" si="3"/>
        <v/>
      </c>
      <c r="M10" s="13" t="str">
        <f t="shared" si="4"/>
        <v/>
      </c>
      <c r="N10" s="13" t="str">
        <f t="shared" si="5"/>
        <v/>
      </c>
      <c r="O10" s="13" t="str">
        <f t="shared" si="6"/>
        <v/>
      </c>
      <c r="P10" s="13" t="str">
        <f t="shared" si="7"/>
        <v/>
      </c>
      <c r="Q10" s="13" t="str">
        <f t="shared" si="8"/>
        <v>Normal</v>
      </c>
      <c r="R10" s="13" t="str">
        <f t="shared" si="9"/>
        <v>Normal</v>
      </c>
      <c r="S10" s="13" t="str">
        <f t="shared" si="10"/>
        <v>Normal</v>
      </c>
      <c r="T10" s="13" t="str">
        <f t="shared" si="11"/>
        <v/>
      </c>
      <c r="U10" s="13" t="str">
        <f t="shared" si="12"/>
        <v/>
      </c>
    </row>
    <row r="11" spans="1:21" ht="15" customHeight="1" x14ac:dyDescent="0.35">
      <c r="A11" s="7">
        <v>8</v>
      </c>
      <c r="B11" s="8" t="s">
        <v>10</v>
      </c>
      <c r="C11" s="9" t="s">
        <v>22</v>
      </c>
      <c r="D11" s="10">
        <v>0.75</v>
      </c>
      <c r="E11" s="10">
        <v>0.83333333333333304</v>
      </c>
      <c r="F11" s="11">
        <f t="shared" si="0"/>
        <v>1.9999999999999929</v>
      </c>
      <c r="G11" s="7" t="s">
        <v>23</v>
      </c>
      <c r="H11" s="7" t="s">
        <v>15</v>
      </c>
      <c r="I11" s="12">
        <v>0</v>
      </c>
      <c r="J11" s="13" t="str">
        <f t="shared" si="1"/>
        <v/>
      </c>
      <c r="K11" s="13" t="str">
        <f t="shared" si="2"/>
        <v/>
      </c>
      <c r="L11" s="13" t="str">
        <f t="shared" si="3"/>
        <v/>
      </c>
      <c r="M11" s="13" t="str">
        <f t="shared" si="4"/>
        <v/>
      </c>
      <c r="N11" s="13" t="str">
        <f t="shared" si="5"/>
        <v/>
      </c>
      <c r="O11" s="13" t="str">
        <f t="shared" si="6"/>
        <v/>
      </c>
      <c r="P11" s="13" t="str">
        <f t="shared" si="7"/>
        <v/>
      </c>
      <c r="Q11" s="13" t="str">
        <f t="shared" si="8"/>
        <v/>
      </c>
      <c r="R11" s="13" t="str">
        <f t="shared" si="9"/>
        <v/>
      </c>
      <c r="S11" s="13" t="str">
        <f t="shared" si="10"/>
        <v/>
      </c>
      <c r="T11" s="13" t="str">
        <f t="shared" si="11"/>
        <v>Heure sup</v>
      </c>
      <c r="U11" s="13" t="str">
        <f t="shared" si="12"/>
        <v>Heure sup</v>
      </c>
    </row>
    <row r="12" spans="1:21" ht="15" customHeight="1" x14ac:dyDescent="0.35">
      <c r="A12" s="7">
        <v>9</v>
      </c>
      <c r="B12" s="14" t="s">
        <v>24</v>
      </c>
      <c r="C12" s="9" t="s">
        <v>25</v>
      </c>
      <c r="D12" s="10">
        <v>0.33333333333333298</v>
      </c>
      <c r="E12" s="10">
        <v>0.41666666666666702</v>
      </c>
      <c r="F12" s="11">
        <f t="shared" si="0"/>
        <v>2.0000000000000169</v>
      </c>
      <c r="G12" s="7" t="s">
        <v>12</v>
      </c>
      <c r="H12" s="7" t="s">
        <v>13</v>
      </c>
      <c r="I12" s="12">
        <v>1</v>
      </c>
      <c r="J12" s="13" t="str">
        <f t="shared" si="1"/>
        <v>Normal</v>
      </c>
      <c r="K12" s="13" t="str">
        <f t="shared" si="2"/>
        <v>Normal</v>
      </c>
      <c r="L12" s="13" t="str">
        <f t="shared" si="3"/>
        <v/>
      </c>
      <c r="M12" s="13" t="str">
        <f t="shared" si="4"/>
        <v/>
      </c>
      <c r="N12" s="13" t="str">
        <f t="shared" si="5"/>
        <v/>
      </c>
      <c r="O12" s="13" t="str">
        <f t="shared" si="6"/>
        <v/>
      </c>
      <c r="P12" s="13" t="str">
        <f t="shared" si="7"/>
        <v/>
      </c>
      <c r="Q12" s="13" t="str">
        <f t="shared" si="8"/>
        <v/>
      </c>
      <c r="R12" s="13" t="str">
        <f t="shared" si="9"/>
        <v/>
      </c>
      <c r="S12" s="13" t="str">
        <f t="shared" si="10"/>
        <v/>
      </c>
      <c r="T12" s="13" t="str">
        <f t="shared" si="11"/>
        <v/>
      </c>
      <c r="U12" s="13" t="str">
        <f t="shared" si="12"/>
        <v/>
      </c>
    </row>
    <row r="13" spans="1:21" ht="15" customHeight="1" x14ac:dyDescent="0.35">
      <c r="A13" s="7">
        <v>10</v>
      </c>
      <c r="B13" s="14" t="s">
        <v>24</v>
      </c>
      <c r="C13" s="9" t="s">
        <v>26</v>
      </c>
      <c r="D13" s="10">
        <v>0.33333333333333298</v>
      </c>
      <c r="E13" s="10">
        <v>0.39583333333333298</v>
      </c>
      <c r="F13" s="11">
        <f t="shared" si="0"/>
        <v>1.5</v>
      </c>
      <c r="G13" s="7" t="s">
        <v>12</v>
      </c>
      <c r="H13" s="7" t="s">
        <v>27</v>
      </c>
      <c r="I13" s="12">
        <v>0.5</v>
      </c>
      <c r="J13" s="13" t="str">
        <f t="shared" si="1"/>
        <v>Normal</v>
      </c>
      <c r="K13" s="13" t="str">
        <f t="shared" si="2"/>
        <v>Normal</v>
      </c>
      <c r="L13" s="13" t="str">
        <f t="shared" si="3"/>
        <v/>
      </c>
      <c r="M13" s="13" t="str">
        <f t="shared" si="4"/>
        <v/>
      </c>
      <c r="N13" s="13" t="str">
        <f t="shared" si="5"/>
        <v/>
      </c>
      <c r="O13" s="13" t="str">
        <f t="shared" si="6"/>
        <v/>
      </c>
      <c r="P13" s="13" t="str">
        <f t="shared" si="7"/>
        <v/>
      </c>
      <c r="Q13" s="13" t="str">
        <f t="shared" si="8"/>
        <v/>
      </c>
      <c r="R13" s="13" t="str">
        <f t="shared" si="9"/>
        <v/>
      </c>
      <c r="S13" s="13" t="str">
        <f t="shared" si="10"/>
        <v/>
      </c>
      <c r="T13" s="13" t="str">
        <f t="shared" si="11"/>
        <v/>
      </c>
      <c r="U13" s="13" t="str">
        <f t="shared" si="12"/>
        <v/>
      </c>
    </row>
    <row r="14" spans="1:21" ht="15" customHeight="1" x14ac:dyDescent="0.35">
      <c r="A14" s="7">
        <v>11</v>
      </c>
      <c r="B14" s="14" t="s">
        <v>24</v>
      </c>
      <c r="C14" s="9" t="s">
        <v>28</v>
      </c>
      <c r="D14" s="10">
        <v>0.39583333333333298</v>
      </c>
      <c r="E14" s="10">
        <v>0.4375</v>
      </c>
      <c r="F14" s="11">
        <f t="shared" si="0"/>
        <v>1.0000000000000084</v>
      </c>
      <c r="G14" s="7" t="s">
        <v>12</v>
      </c>
      <c r="H14" s="7" t="s">
        <v>27</v>
      </c>
      <c r="I14" s="12">
        <v>0.5</v>
      </c>
      <c r="J14" s="13" t="str">
        <f t="shared" si="1"/>
        <v/>
      </c>
      <c r="K14" s="13" t="str">
        <f t="shared" si="2"/>
        <v/>
      </c>
      <c r="L14" s="13" t="str">
        <f t="shared" si="3"/>
        <v>Normal</v>
      </c>
      <c r="M14" s="13" t="str">
        <f t="shared" si="4"/>
        <v/>
      </c>
      <c r="N14" s="13" t="str">
        <f t="shared" si="5"/>
        <v/>
      </c>
      <c r="O14" s="13" t="str">
        <f t="shared" si="6"/>
        <v/>
      </c>
      <c r="P14" s="13" t="str">
        <f t="shared" si="7"/>
        <v/>
      </c>
      <c r="Q14" s="13" t="str">
        <f t="shared" si="8"/>
        <v/>
      </c>
      <c r="R14" s="13" t="str">
        <f t="shared" si="9"/>
        <v/>
      </c>
      <c r="S14" s="13" t="str">
        <f t="shared" si="10"/>
        <v/>
      </c>
      <c r="T14" s="13" t="str">
        <f t="shared" si="11"/>
        <v/>
      </c>
      <c r="U14" s="13" t="str">
        <f t="shared" si="12"/>
        <v/>
      </c>
    </row>
    <row r="15" spans="1:21" ht="15" customHeight="1" x14ac:dyDescent="0.35">
      <c r="A15" s="7">
        <v>12</v>
      </c>
      <c r="B15" s="14" t="s">
        <v>24</v>
      </c>
      <c r="C15" s="9" t="s">
        <v>29</v>
      </c>
      <c r="D15" s="10">
        <v>0.41666666666666702</v>
      </c>
      <c r="E15" s="10">
        <v>0.5</v>
      </c>
      <c r="F15" s="11">
        <f t="shared" si="0"/>
        <v>1.9999999999999916</v>
      </c>
      <c r="G15" s="7" t="s">
        <v>12</v>
      </c>
      <c r="H15" s="7" t="s">
        <v>13</v>
      </c>
      <c r="I15" s="12">
        <v>1</v>
      </c>
      <c r="J15" s="13" t="str">
        <f t="shared" si="1"/>
        <v/>
      </c>
      <c r="K15" s="13" t="str">
        <f t="shared" si="2"/>
        <v/>
      </c>
      <c r="L15" s="13" t="str">
        <f t="shared" si="3"/>
        <v>Normal</v>
      </c>
      <c r="M15" s="13" t="str">
        <f t="shared" si="4"/>
        <v>Normal</v>
      </c>
      <c r="N15" s="13" t="str">
        <f t="shared" si="5"/>
        <v/>
      </c>
      <c r="O15" s="13" t="str">
        <f t="shared" si="6"/>
        <v/>
      </c>
      <c r="P15" s="13" t="str">
        <f t="shared" si="7"/>
        <v/>
      </c>
      <c r="Q15" s="13" t="str">
        <f t="shared" si="8"/>
        <v/>
      </c>
      <c r="R15" s="13" t="str">
        <f t="shared" si="9"/>
        <v/>
      </c>
      <c r="S15" s="13" t="str">
        <f t="shared" si="10"/>
        <v/>
      </c>
      <c r="T15" s="13" t="str">
        <f t="shared" si="11"/>
        <v/>
      </c>
      <c r="U15" s="13" t="str">
        <f t="shared" si="12"/>
        <v/>
      </c>
    </row>
    <row r="16" spans="1:21" ht="15" customHeight="1" x14ac:dyDescent="0.35">
      <c r="A16" s="7">
        <v>13</v>
      </c>
      <c r="B16" s="14" t="s">
        <v>24</v>
      </c>
      <c r="C16" s="9" t="s">
        <v>30</v>
      </c>
      <c r="D16" s="10">
        <v>0.4375</v>
      </c>
      <c r="E16" s="10">
        <v>0.5</v>
      </c>
      <c r="F16" s="11">
        <f t="shared" si="0"/>
        <v>1.5</v>
      </c>
      <c r="G16" s="7" t="s">
        <v>12</v>
      </c>
      <c r="H16" s="7" t="s">
        <v>27</v>
      </c>
      <c r="I16" s="12">
        <v>0.5</v>
      </c>
      <c r="J16" s="13" t="str">
        <f t="shared" si="1"/>
        <v/>
      </c>
      <c r="K16" s="13" t="str">
        <f t="shared" si="2"/>
        <v/>
      </c>
      <c r="L16" s="13" t="str">
        <f t="shared" si="3"/>
        <v/>
      </c>
      <c r="M16" s="13" t="str">
        <f t="shared" si="4"/>
        <v>Normal</v>
      </c>
      <c r="N16" s="13" t="str">
        <f t="shared" si="5"/>
        <v/>
      </c>
      <c r="O16" s="13" t="str">
        <f t="shared" si="6"/>
        <v/>
      </c>
      <c r="P16" s="13" t="str">
        <f t="shared" si="7"/>
        <v/>
      </c>
      <c r="Q16" s="13" t="str">
        <f t="shared" si="8"/>
        <v/>
      </c>
      <c r="R16" s="13" t="str">
        <f t="shared" si="9"/>
        <v/>
      </c>
      <c r="S16" s="13" t="str">
        <f t="shared" si="10"/>
        <v/>
      </c>
      <c r="T16" s="13" t="str">
        <f t="shared" si="11"/>
        <v/>
      </c>
      <c r="U16" s="13" t="str">
        <f t="shared" si="12"/>
        <v/>
      </c>
    </row>
    <row r="17" spans="1:21" ht="15" customHeight="1" x14ac:dyDescent="0.35">
      <c r="A17" s="7">
        <v>14</v>
      </c>
      <c r="B17" s="14" t="s">
        <v>24</v>
      </c>
      <c r="C17" s="9" t="s">
        <v>31</v>
      </c>
      <c r="D17" s="10">
        <v>0.54166666666666696</v>
      </c>
      <c r="E17" s="10">
        <v>0.64583333333333304</v>
      </c>
      <c r="F17" s="11">
        <f t="shared" si="0"/>
        <v>2.4999999999999858</v>
      </c>
      <c r="G17" s="7" t="s">
        <v>12</v>
      </c>
      <c r="H17" s="7" t="s">
        <v>27</v>
      </c>
      <c r="I17" s="12">
        <v>0.5</v>
      </c>
      <c r="J17" s="13" t="str">
        <f t="shared" si="1"/>
        <v/>
      </c>
      <c r="K17" s="13" t="str">
        <f t="shared" si="2"/>
        <v/>
      </c>
      <c r="L17" s="13" t="str">
        <f t="shared" si="3"/>
        <v/>
      </c>
      <c r="M17" s="13" t="str">
        <f t="shared" si="4"/>
        <v/>
      </c>
      <c r="N17" s="13" t="str">
        <f t="shared" si="5"/>
        <v/>
      </c>
      <c r="O17" s="13" t="str">
        <f t="shared" si="6"/>
        <v>Normal</v>
      </c>
      <c r="P17" s="13" t="str">
        <f t="shared" si="7"/>
        <v>Normal</v>
      </c>
      <c r="Q17" s="13" t="str">
        <f t="shared" si="8"/>
        <v>Normal</v>
      </c>
      <c r="R17" s="13" t="str">
        <f t="shared" si="9"/>
        <v/>
      </c>
      <c r="S17" s="13" t="str">
        <f t="shared" si="10"/>
        <v/>
      </c>
      <c r="T17" s="13" t="str">
        <f t="shared" si="11"/>
        <v/>
      </c>
      <c r="U17" s="13" t="str">
        <f t="shared" si="12"/>
        <v/>
      </c>
    </row>
    <row r="18" spans="1:21" ht="15" customHeight="1" x14ac:dyDescent="0.35">
      <c r="A18" s="7">
        <v>15</v>
      </c>
      <c r="B18" s="14" t="s">
        <v>24</v>
      </c>
      <c r="C18" s="9" t="s">
        <v>32</v>
      </c>
      <c r="D18" s="10">
        <v>0.54166666666666696</v>
      </c>
      <c r="E18" s="10">
        <v>0.60416666666666696</v>
      </c>
      <c r="F18" s="11">
        <f t="shared" si="0"/>
        <v>1.5</v>
      </c>
      <c r="G18" s="7" t="s">
        <v>12</v>
      </c>
      <c r="H18" s="7" t="s">
        <v>27</v>
      </c>
      <c r="I18" s="12">
        <v>0.5</v>
      </c>
      <c r="J18" s="13" t="str">
        <f t="shared" si="1"/>
        <v/>
      </c>
      <c r="K18" s="13" t="str">
        <f t="shared" si="2"/>
        <v/>
      </c>
      <c r="L18" s="13" t="str">
        <f t="shared" si="3"/>
        <v/>
      </c>
      <c r="M18" s="13" t="str">
        <f t="shared" si="4"/>
        <v/>
      </c>
      <c r="N18" s="13" t="str">
        <f t="shared" si="5"/>
        <v/>
      </c>
      <c r="O18" s="13" t="str">
        <f t="shared" si="6"/>
        <v>Normal</v>
      </c>
      <c r="P18" s="13" t="str">
        <f t="shared" si="7"/>
        <v>Normal</v>
      </c>
      <c r="Q18" s="13" t="str">
        <f t="shared" si="8"/>
        <v/>
      </c>
      <c r="R18" s="13" t="str">
        <f t="shared" si="9"/>
        <v/>
      </c>
      <c r="S18" s="13" t="str">
        <f t="shared" si="10"/>
        <v/>
      </c>
      <c r="T18" s="13" t="str">
        <f t="shared" si="11"/>
        <v/>
      </c>
      <c r="U18" s="13" t="str">
        <f t="shared" si="12"/>
        <v/>
      </c>
    </row>
    <row r="19" spans="1:21" ht="15" customHeight="1" x14ac:dyDescent="0.35">
      <c r="A19" s="7">
        <v>16</v>
      </c>
      <c r="B19" s="14" t="s">
        <v>24</v>
      </c>
      <c r="C19" s="9" t="s">
        <v>33</v>
      </c>
      <c r="D19" s="10">
        <v>0.60416666666666696</v>
      </c>
      <c r="E19" s="10">
        <v>0.66666666666666696</v>
      </c>
      <c r="F19" s="11">
        <f t="shared" si="0"/>
        <v>1.5</v>
      </c>
      <c r="G19" s="7" t="s">
        <v>12</v>
      </c>
      <c r="H19" s="7" t="s">
        <v>21</v>
      </c>
      <c r="I19" s="12">
        <v>0</v>
      </c>
      <c r="J19" s="13" t="str">
        <f t="shared" si="1"/>
        <v/>
      </c>
      <c r="K19" s="13" t="str">
        <f t="shared" si="2"/>
        <v/>
      </c>
      <c r="L19" s="13" t="str">
        <f t="shared" si="3"/>
        <v/>
      </c>
      <c r="M19" s="13" t="str">
        <f t="shared" si="4"/>
        <v/>
      </c>
      <c r="N19" s="13" t="str">
        <f t="shared" si="5"/>
        <v/>
      </c>
      <c r="O19" s="13" t="str">
        <f t="shared" si="6"/>
        <v/>
      </c>
      <c r="P19" s="13" t="str">
        <f t="shared" si="7"/>
        <v/>
      </c>
      <c r="Q19" s="13" t="str">
        <f t="shared" si="8"/>
        <v>Normal</v>
      </c>
      <c r="R19" s="13" t="str">
        <f t="shared" si="9"/>
        <v/>
      </c>
      <c r="S19" s="13" t="str">
        <f t="shared" si="10"/>
        <v/>
      </c>
      <c r="T19" s="13" t="str">
        <f t="shared" si="11"/>
        <v/>
      </c>
      <c r="U19" s="13" t="str">
        <f t="shared" si="12"/>
        <v/>
      </c>
    </row>
    <row r="20" spans="1:21" ht="15" customHeight="1" x14ac:dyDescent="0.35">
      <c r="A20" s="7">
        <v>17</v>
      </c>
      <c r="B20" s="14" t="s">
        <v>24</v>
      </c>
      <c r="C20" s="9" t="s">
        <v>34</v>
      </c>
      <c r="D20" s="10">
        <v>0.64583333333333304</v>
      </c>
      <c r="E20" s="10">
        <v>0.75</v>
      </c>
      <c r="F20" s="11">
        <f t="shared" si="0"/>
        <v>2.5000000000000071</v>
      </c>
      <c r="G20" s="7" t="s">
        <v>12</v>
      </c>
      <c r="H20" s="7" t="s">
        <v>13</v>
      </c>
      <c r="I20" s="12">
        <v>1</v>
      </c>
      <c r="J20" s="13" t="str">
        <f t="shared" si="1"/>
        <v/>
      </c>
      <c r="K20" s="13" t="str">
        <f t="shared" si="2"/>
        <v/>
      </c>
      <c r="L20" s="13" t="str">
        <f t="shared" si="3"/>
        <v/>
      </c>
      <c r="M20" s="13" t="str">
        <f t="shared" si="4"/>
        <v/>
      </c>
      <c r="N20" s="13" t="str">
        <f t="shared" si="5"/>
        <v/>
      </c>
      <c r="O20" s="13" t="str">
        <f t="shared" si="6"/>
        <v/>
      </c>
      <c r="P20" s="13" t="str">
        <f t="shared" si="7"/>
        <v/>
      </c>
      <c r="Q20" s="13" t="str">
        <f t="shared" si="8"/>
        <v/>
      </c>
      <c r="R20" s="13" t="str">
        <f t="shared" si="9"/>
        <v>Normal</v>
      </c>
      <c r="S20" s="13" t="str">
        <f t="shared" si="10"/>
        <v>Normal</v>
      </c>
      <c r="T20" s="13" t="str">
        <f t="shared" si="11"/>
        <v/>
      </c>
      <c r="U20" s="13" t="str">
        <f t="shared" si="12"/>
        <v/>
      </c>
    </row>
    <row r="21" spans="1:21" ht="15" customHeight="1" x14ac:dyDescent="0.35">
      <c r="A21" s="7">
        <v>18</v>
      </c>
      <c r="B21" s="14" t="s">
        <v>24</v>
      </c>
      <c r="C21" s="9" t="s">
        <v>35</v>
      </c>
      <c r="D21" s="10">
        <v>0.66666666666666696</v>
      </c>
      <c r="E21" s="10">
        <v>0.70833333333333304</v>
      </c>
      <c r="F21" s="11">
        <f t="shared" si="0"/>
        <v>0.99999999999998579</v>
      </c>
      <c r="G21" s="7" t="s">
        <v>12</v>
      </c>
      <c r="H21" s="7" t="s">
        <v>36</v>
      </c>
      <c r="I21" s="12">
        <v>0.9</v>
      </c>
      <c r="J21" s="13" t="str">
        <f t="shared" si="1"/>
        <v/>
      </c>
      <c r="K21" s="13" t="str">
        <f t="shared" si="2"/>
        <v/>
      </c>
      <c r="L21" s="13" t="str">
        <f t="shared" si="3"/>
        <v/>
      </c>
      <c r="M21" s="13" t="str">
        <f t="shared" si="4"/>
        <v/>
      </c>
      <c r="N21" s="13" t="str">
        <f t="shared" si="5"/>
        <v/>
      </c>
      <c r="O21" s="13" t="str">
        <f t="shared" si="6"/>
        <v/>
      </c>
      <c r="P21" s="13" t="str">
        <f t="shared" si="7"/>
        <v/>
      </c>
      <c r="Q21" s="13" t="str">
        <f t="shared" si="8"/>
        <v/>
      </c>
      <c r="R21" s="13" t="str">
        <f t="shared" si="9"/>
        <v>Normal</v>
      </c>
      <c r="S21" s="13" t="str">
        <f t="shared" si="10"/>
        <v/>
      </c>
      <c r="T21" s="13" t="str">
        <f t="shared" si="11"/>
        <v/>
      </c>
      <c r="U21" s="13" t="str">
        <f t="shared" si="12"/>
        <v/>
      </c>
    </row>
    <row r="22" spans="1:21" ht="15" customHeight="1" x14ac:dyDescent="0.35">
      <c r="A22" s="7">
        <v>19</v>
      </c>
      <c r="B22" s="14" t="s">
        <v>24</v>
      </c>
      <c r="C22" s="9" t="s">
        <v>37</v>
      </c>
      <c r="D22" s="10">
        <v>0.70833333333333304</v>
      </c>
      <c r="E22" s="10">
        <v>0.75</v>
      </c>
      <c r="F22" s="11">
        <f t="shared" si="0"/>
        <v>1.0000000000000071</v>
      </c>
      <c r="G22" s="7" t="s">
        <v>12</v>
      </c>
      <c r="H22" s="7" t="s">
        <v>15</v>
      </c>
      <c r="I22" s="12">
        <v>0</v>
      </c>
      <c r="J22" s="13" t="str">
        <f t="shared" si="1"/>
        <v/>
      </c>
      <c r="K22" s="13" t="str">
        <f t="shared" si="2"/>
        <v/>
      </c>
      <c r="L22" s="13" t="str">
        <f t="shared" si="3"/>
        <v/>
      </c>
      <c r="M22" s="13" t="str">
        <f t="shared" si="4"/>
        <v/>
      </c>
      <c r="N22" s="13" t="str">
        <f t="shared" si="5"/>
        <v/>
      </c>
      <c r="O22" s="13" t="str">
        <f t="shared" si="6"/>
        <v/>
      </c>
      <c r="P22" s="13" t="str">
        <f t="shared" si="7"/>
        <v/>
      </c>
      <c r="Q22" s="13" t="str">
        <f t="shared" si="8"/>
        <v/>
      </c>
      <c r="R22" s="13" t="str">
        <f t="shared" si="9"/>
        <v/>
      </c>
      <c r="S22" s="13" t="str">
        <f t="shared" si="10"/>
        <v>Normal</v>
      </c>
      <c r="T22" s="13" t="str">
        <f t="shared" si="11"/>
        <v/>
      </c>
      <c r="U22" s="13" t="str">
        <f t="shared" si="12"/>
        <v/>
      </c>
    </row>
    <row r="23" spans="1:21" ht="15" customHeight="1" x14ac:dyDescent="0.35">
      <c r="A23" s="7">
        <v>20</v>
      </c>
      <c r="B23" s="14" t="s">
        <v>24</v>
      </c>
      <c r="C23" s="9" t="s">
        <v>38</v>
      </c>
      <c r="D23" s="10">
        <v>0.75</v>
      </c>
      <c r="E23" s="10">
        <v>0.83333333333333304</v>
      </c>
      <c r="F23" s="11">
        <f t="shared" si="0"/>
        <v>1.9999999999999929</v>
      </c>
      <c r="G23" s="7" t="s">
        <v>23</v>
      </c>
      <c r="H23" s="7" t="s">
        <v>15</v>
      </c>
      <c r="I23" s="12">
        <v>0</v>
      </c>
      <c r="J23" s="13" t="str">
        <f t="shared" si="1"/>
        <v/>
      </c>
      <c r="K23" s="13" t="str">
        <f t="shared" si="2"/>
        <v/>
      </c>
      <c r="L23" s="13" t="str">
        <f t="shared" si="3"/>
        <v/>
      </c>
      <c r="M23" s="13" t="str">
        <f t="shared" si="4"/>
        <v/>
      </c>
      <c r="N23" s="13" t="str">
        <f t="shared" si="5"/>
        <v/>
      </c>
      <c r="O23" s="13" t="str">
        <f t="shared" si="6"/>
        <v/>
      </c>
      <c r="P23" s="13" t="str">
        <f t="shared" si="7"/>
        <v/>
      </c>
      <c r="Q23" s="13" t="str">
        <f t="shared" si="8"/>
        <v/>
      </c>
      <c r="R23" s="13" t="str">
        <f t="shared" si="9"/>
        <v/>
      </c>
      <c r="S23" s="13" t="str">
        <f t="shared" si="10"/>
        <v/>
      </c>
      <c r="T23" s="13" t="str">
        <f t="shared" si="11"/>
        <v>Heure sup</v>
      </c>
      <c r="U23" s="13" t="str">
        <f t="shared" si="12"/>
        <v>Heure sup</v>
      </c>
    </row>
    <row r="24" spans="1:21" ht="15" customHeight="1" x14ac:dyDescent="0.35">
      <c r="A24" s="7">
        <v>21</v>
      </c>
      <c r="B24" s="15" t="s">
        <v>39</v>
      </c>
      <c r="C24" s="9" t="s">
        <v>40</v>
      </c>
      <c r="D24" s="10">
        <v>0.33333333333333298</v>
      </c>
      <c r="E24" s="10">
        <v>0.41666666666666702</v>
      </c>
      <c r="F24" s="11">
        <f t="shared" si="0"/>
        <v>2.0000000000000169</v>
      </c>
      <c r="G24" s="7" t="s">
        <v>12</v>
      </c>
      <c r="H24" s="7" t="s">
        <v>15</v>
      </c>
      <c r="I24" s="12">
        <v>0</v>
      </c>
      <c r="J24" s="13" t="str">
        <f t="shared" si="1"/>
        <v>Normal</v>
      </c>
      <c r="K24" s="13" t="str">
        <f t="shared" si="2"/>
        <v>Normal</v>
      </c>
      <c r="L24" s="13" t="str">
        <f t="shared" si="3"/>
        <v/>
      </c>
      <c r="M24" s="13" t="str">
        <f t="shared" si="4"/>
        <v/>
      </c>
      <c r="N24" s="13" t="str">
        <f t="shared" si="5"/>
        <v/>
      </c>
      <c r="O24" s="13" t="str">
        <f t="shared" si="6"/>
        <v/>
      </c>
      <c r="P24" s="13" t="str">
        <f t="shared" si="7"/>
        <v/>
      </c>
      <c r="Q24" s="13" t="str">
        <f t="shared" si="8"/>
        <v/>
      </c>
      <c r="R24" s="13" t="str">
        <f t="shared" si="9"/>
        <v/>
      </c>
      <c r="S24" s="13" t="str">
        <f t="shared" si="10"/>
        <v/>
      </c>
      <c r="T24" s="13" t="str">
        <f t="shared" si="11"/>
        <v/>
      </c>
      <c r="U24" s="13" t="str">
        <f t="shared" si="12"/>
        <v/>
      </c>
    </row>
    <row r="25" spans="1:21" ht="15" customHeight="1" x14ac:dyDescent="0.35">
      <c r="A25" s="7">
        <v>22</v>
      </c>
      <c r="B25" s="15" t="s">
        <v>39</v>
      </c>
      <c r="C25" s="9" t="s">
        <v>41</v>
      </c>
      <c r="D25" s="10">
        <v>0.33333333333333298</v>
      </c>
      <c r="E25" s="10">
        <v>0.39583333333333298</v>
      </c>
      <c r="F25" s="11">
        <f t="shared" si="0"/>
        <v>1.5</v>
      </c>
      <c r="G25" s="7" t="s">
        <v>12</v>
      </c>
      <c r="H25" s="7" t="s">
        <v>15</v>
      </c>
      <c r="I25" s="12">
        <v>0</v>
      </c>
      <c r="J25" s="13" t="str">
        <f t="shared" si="1"/>
        <v>Normal</v>
      </c>
      <c r="K25" s="13" t="str">
        <f t="shared" si="2"/>
        <v>Normal</v>
      </c>
      <c r="L25" s="13" t="str">
        <f t="shared" si="3"/>
        <v/>
      </c>
      <c r="M25" s="13" t="str">
        <f t="shared" si="4"/>
        <v/>
      </c>
      <c r="N25" s="13" t="str">
        <f t="shared" si="5"/>
        <v/>
      </c>
      <c r="O25" s="13" t="str">
        <f t="shared" si="6"/>
        <v/>
      </c>
      <c r="P25" s="13" t="str">
        <f t="shared" si="7"/>
        <v/>
      </c>
      <c r="Q25" s="13" t="str">
        <f t="shared" si="8"/>
        <v/>
      </c>
      <c r="R25" s="13" t="str">
        <f t="shared" si="9"/>
        <v/>
      </c>
      <c r="S25" s="13" t="str">
        <f t="shared" si="10"/>
        <v/>
      </c>
      <c r="T25" s="13" t="str">
        <f t="shared" si="11"/>
        <v/>
      </c>
      <c r="U25" s="13" t="str">
        <f t="shared" si="12"/>
        <v/>
      </c>
    </row>
    <row r="26" spans="1:21" ht="15" customHeight="1" x14ac:dyDescent="0.35">
      <c r="A26" s="7">
        <v>23</v>
      </c>
      <c r="B26" s="15" t="s">
        <v>39</v>
      </c>
      <c r="C26" s="9" t="s">
        <v>42</v>
      </c>
      <c r="D26" s="10">
        <v>0.39583333333333298</v>
      </c>
      <c r="E26" s="10">
        <v>0.45833333333333298</v>
      </c>
      <c r="F26" s="11">
        <f t="shared" si="0"/>
        <v>1.5</v>
      </c>
      <c r="G26" s="7" t="s">
        <v>12</v>
      </c>
      <c r="H26" s="7" t="s">
        <v>15</v>
      </c>
      <c r="I26" s="12">
        <v>0</v>
      </c>
      <c r="J26" s="13" t="str">
        <f t="shared" si="1"/>
        <v/>
      </c>
      <c r="K26" s="13" t="str">
        <f t="shared" si="2"/>
        <v/>
      </c>
      <c r="L26" s="13" t="str">
        <f t="shared" si="3"/>
        <v>Normal</v>
      </c>
      <c r="M26" s="13" t="str">
        <f t="shared" si="4"/>
        <v/>
      </c>
      <c r="N26" s="13" t="str">
        <f t="shared" si="5"/>
        <v/>
      </c>
      <c r="O26" s="13" t="str">
        <f t="shared" si="6"/>
        <v/>
      </c>
      <c r="P26" s="13" t="str">
        <f t="shared" si="7"/>
        <v/>
      </c>
      <c r="Q26" s="13" t="str">
        <f t="shared" si="8"/>
        <v/>
      </c>
      <c r="R26" s="13" t="str">
        <f t="shared" si="9"/>
        <v/>
      </c>
      <c r="S26" s="13" t="str">
        <f t="shared" si="10"/>
        <v/>
      </c>
      <c r="T26" s="13" t="str">
        <f t="shared" si="11"/>
        <v/>
      </c>
      <c r="U26" s="13" t="str">
        <f t="shared" si="12"/>
        <v/>
      </c>
    </row>
    <row r="27" spans="1:21" ht="15" customHeight="1" x14ac:dyDescent="0.35">
      <c r="A27" s="7">
        <v>24</v>
      </c>
      <c r="B27" s="15" t="s">
        <v>39</v>
      </c>
      <c r="C27" s="9" t="s">
        <v>43</v>
      </c>
      <c r="D27" s="10">
        <v>0.41666666666666702</v>
      </c>
      <c r="E27" s="10">
        <v>0.5</v>
      </c>
      <c r="F27" s="11">
        <f t="shared" si="0"/>
        <v>1.9999999999999916</v>
      </c>
      <c r="G27" s="7" t="s">
        <v>12</v>
      </c>
      <c r="H27" s="7" t="s">
        <v>15</v>
      </c>
      <c r="I27" s="12">
        <v>0</v>
      </c>
      <c r="J27" s="13" t="str">
        <f t="shared" si="1"/>
        <v/>
      </c>
      <c r="K27" s="13" t="str">
        <f t="shared" si="2"/>
        <v/>
      </c>
      <c r="L27" s="13" t="str">
        <f t="shared" si="3"/>
        <v>Normal</v>
      </c>
      <c r="M27" s="13" t="str">
        <f t="shared" si="4"/>
        <v>Normal</v>
      </c>
      <c r="N27" s="13" t="str">
        <f t="shared" si="5"/>
        <v/>
      </c>
      <c r="O27" s="13" t="str">
        <f t="shared" si="6"/>
        <v/>
      </c>
      <c r="P27" s="13" t="str">
        <f t="shared" si="7"/>
        <v/>
      </c>
      <c r="Q27" s="13" t="str">
        <f t="shared" si="8"/>
        <v/>
      </c>
      <c r="R27" s="13" t="str">
        <f t="shared" si="9"/>
        <v/>
      </c>
      <c r="S27" s="13" t="str">
        <f t="shared" si="10"/>
        <v/>
      </c>
      <c r="T27" s="13" t="str">
        <f t="shared" si="11"/>
        <v/>
      </c>
      <c r="U27" s="13" t="str">
        <f t="shared" si="12"/>
        <v/>
      </c>
    </row>
    <row r="28" spans="1:21" ht="15" customHeight="1" x14ac:dyDescent="0.35">
      <c r="A28" s="7">
        <v>25</v>
      </c>
      <c r="B28" s="15" t="s">
        <v>39</v>
      </c>
      <c r="C28" s="9" t="s">
        <v>44</v>
      </c>
      <c r="D28" s="10">
        <v>0.45833333333333298</v>
      </c>
      <c r="E28" s="10">
        <v>0.5</v>
      </c>
      <c r="F28" s="11">
        <f t="shared" si="0"/>
        <v>1.0000000000000084</v>
      </c>
      <c r="G28" s="7" t="s">
        <v>12</v>
      </c>
      <c r="H28" s="7" t="s">
        <v>15</v>
      </c>
      <c r="I28" s="12">
        <v>0</v>
      </c>
      <c r="J28" s="13" t="str">
        <f t="shared" si="1"/>
        <v/>
      </c>
      <c r="K28" s="13" t="str">
        <f t="shared" si="2"/>
        <v/>
      </c>
      <c r="L28" s="13" t="str">
        <f t="shared" si="3"/>
        <v/>
      </c>
      <c r="M28" s="13" t="str">
        <f t="shared" si="4"/>
        <v>Normal</v>
      </c>
      <c r="N28" s="13" t="str">
        <f t="shared" si="5"/>
        <v/>
      </c>
      <c r="O28" s="13" t="str">
        <f t="shared" si="6"/>
        <v/>
      </c>
      <c r="P28" s="13" t="str">
        <f t="shared" si="7"/>
        <v/>
      </c>
      <c r="Q28" s="13" t="str">
        <f t="shared" si="8"/>
        <v/>
      </c>
      <c r="R28" s="13" t="str">
        <f t="shared" si="9"/>
        <v/>
      </c>
      <c r="S28" s="13" t="str">
        <f t="shared" si="10"/>
        <v/>
      </c>
      <c r="T28" s="13" t="str">
        <f t="shared" si="11"/>
        <v/>
      </c>
      <c r="U28" s="13" t="str">
        <f t="shared" si="12"/>
        <v/>
      </c>
    </row>
    <row r="29" spans="1:21" ht="15" customHeight="1" x14ac:dyDescent="0.35">
      <c r="A29" s="7">
        <v>26</v>
      </c>
      <c r="B29" s="15" t="s">
        <v>39</v>
      </c>
      <c r="C29" s="9" t="s">
        <v>45</v>
      </c>
      <c r="D29" s="10">
        <v>0.54166666666666696</v>
      </c>
      <c r="E29" s="10">
        <v>0.625</v>
      </c>
      <c r="F29" s="11">
        <f t="shared" si="0"/>
        <v>1.9999999999999929</v>
      </c>
      <c r="G29" s="7" t="s">
        <v>12</v>
      </c>
      <c r="H29" s="7" t="s">
        <v>15</v>
      </c>
      <c r="I29" s="12">
        <v>0</v>
      </c>
      <c r="J29" s="13" t="str">
        <f t="shared" si="1"/>
        <v/>
      </c>
      <c r="K29" s="13" t="str">
        <f t="shared" si="2"/>
        <v/>
      </c>
      <c r="L29" s="13" t="str">
        <f t="shared" si="3"/>
        <v/>
      </c>
      <c r="M29" s="13" t="str">
        <f t="shared" si="4"/>
        <v/>
      </c>
      <c r="N29" s="13" t="str">
        <f t="shared" si="5"/>
        <v/>
      </c>
      <c r="O29" s="13" t="str">
        <f t="shared" si="6"/>
        <v>Normal</v>
      </c>
      <c r="P29" s="13" t="str">
        <f t="shared" si="7"/>
        <v>Normal</v>
      </c>
      <c r="Q29" s="13" t="str">
        <f t="shared" si="8"/>
        <v/>
      </c>
      <c r="R29" s="13" t="str">
        <f t="shared" si="9"/>
        <v/>
      </c>
      <c r="S29" s="13" t="str">
        <f t="shared" si="10"/>
        <v/>
      </c>
      <c r="T29" s="13" t="str">
        <f t="shared" si="11"/>
        <v/>
      </c>
      <c r="U29" s="13" t="str">
        <f t="shared" si="12"/>
        <v/>
      </c>
    </row>
    <row r="30" spans="1:21" ht="15" customHeight="1" x14ac:dyDescent="0.35">
      <c r="A30" s="7">
        <v>27</v>
      </c>
      <c r="B30" s="15" t="s">
        <v>39</v>
      </c>
      <c r="C30" s="9" t="s">
        <v>46</v>
      </c>
      <c r="D30" s="10">
        <v>0.54166666666666696</v>
      </c>
      <c r="E30" s="10">
        <v>0.58333333333333304</v>
      </c>
      <c r="F30" s="11">
        <f t="shared" si="0"/>
        <v>0.99999999999998579</v>
      </c>
      <c r="G30" s="7" t="s">
        <v>12</v>
      </c>
      <c r="H30" s="7" t="s">
        <v>15</v>
      </c>
      <c r="I30" s="12">
        <v>0</v>
      </c>
      <c r="J30" s="13" t="str">
        <f t="shared" si="1"/>
        <v/>
      </c>
      <c r="K30" s="13" t="str">
        <f t="shared" si="2"/>
        <v/>
      </c>
      <c r="L30" s="13" t="str">
        <f t="shared" si="3"/>
        <v/>
      </c>
      <c r="M30" s="13" t="str">
        <f t="shared" si="4"/>
        <v/>
      </c>
      <c r="N30" s="13" t="str">
        <f t="shared" si="5"/>
        <v/>
      </c>
      <c r="O30" s="13" t="str">
        <f t="shared" si="6"/>
        <v>Normal</v>
      </c>
      <c r="P30" s="13" t="str">
        <f t="shared" si="7"/>
        <v/>
      </c>
      <c r="Q30" s="13" t="str">
        <f t="shared" si="8"/>
        <v/>
      </c>
      <c r="R30" s="13" t="str">
        <f t="shared" si="9"/>
        <v/>
      </c>
      <c r="S30" s="13" t="str">
        <f t="shared" si="10"/>
        <v/>
      </c>
      <c r="T30" s="13" t="str">
        <f t="shared" si="11"/>
        <v/>
      </c>
      <c r="U30" s="13" t="str">
        <f t="shared" si="12"/>
        <v/>
      </c>
    </row>
    <row r="31" spans="1:21" ht="15" customHeight="1" x14ac:dyDescent="0.35">
      <c r="A31" s="7">
        <v>28</v>
      </c>
      <c r="B31" s="15" t="s">
        <v>39</v>
      </c>
      <c r="C31" s="9" t="s">
        <v>47</v>
      </c>
      <c r="D31" s="10">
        <v>0.58333333333333304</v>
      </c>
      <c r="E31" s="10">
        <v>0.64583333333333304</v>
      </c>
      <c r="F31" s="11">
        <f t="shared" si="0"/>
        <v>1.5</v>
      </c>
      <c r="G31" s="7" t="s">
        <v>12</v>
      </c>
      <c r="H31" s="7" t="s">
        <v>15</v>
      </c>
      <c r="I31" s="12">
        <v>0</v>
      </c>
      <c r="J31" s="13" t="str">
        <f t="shared" si="1"/>
        <v/>
      </c>
      <c r="K31" s="13" t="str">
        <f t="shared" si="2"/>
        <v/>
      </c>
      <c r="L31" s="13" t="str">
        <f t="shared" si="3"/>
        <v/>
      </c>
      <c r="M31" s="13" t="str">
        <f t="shared" si="4"/>
        <v/>
      </c>
      <c r="N31" s="13" t="str">
        <f t="shared" si="5"/>
        <v/>
      </c>
      <c r="O31" s="13" t="str">
        <f t="shared" si="6"/>
        <v/>
      </c>
      <c r="P31" s="13" t="str">
        <f t="shared" si="7"/>
        <v>Normal</v>
      </c>
      <c r="Q31" s="13" t="str">
        <f t="shared" si="8"/>
        <v>Normal</v>
      </c>
      <c r="R31" s="13" t="str">
        <f t="shared" si="9"/>
        <v/>
      </c>
      <c r="S31" s="13" t="str">
        <f t="shared" si="10"/>
        <v/>
      </c>
      <c r="T31" s="13" t="str">
        <f t="shared" si="11"/>
        <v/>
      </c>
      <c r="U31" s="13" t="str">
        <f t="shared" si="12"/>
        <v/>
      </c>
    </row>
    <row r="32" spans="1:21" ht="15" customHeight="1" x14ac:dyDescent="0.35">
      <c r="A32" s="7">
        <v>29</v>
      </c>
      <c r="B32" s="15" t="s">
        <v>39</v>
      </c>
      <c r="C32" s="9" t="s">
        <v>48</v>
      </c>
      <c r="D32" s="10">
        <v>0.625</v>
      </c>
      <c r="E32" s="10">
        <v>0.70833333333333304</v>
      </c>
      <c r="F32" s="11">
        <f t="shared" si="0"/>
        <v>1.9999999999999929</v>
      </c>
      <c r="G32" s="7" t="s">
        <v>12</v>
      </c>
      <c r="H32" s="7" t="s">
        <v>36</v>
      </c>
      <c r="I32" s="12">
        <v>0.9</v>
      </c>
      <c r="J32" s="13" t="str">
        <f t="shared" si="1"/>
        <v/>
      </c>
      <c r="K32" s="13" t="str">
        <f t="shared" si="2"/>
        <v/>
      </c>
      <c r="L32" s="13" t="str">
        <f t="shared" si="3"/>
        <v/>
      </c>
      <c r="M32" s="13" t="str">
        <f t="shared" si="4"/>
        <v/>
      </c>
      <c r="N32" s="13" t="str">
        <f t="shared" si="5"/>
        <v/>
      </c>
      <c r="O32" s="13" t="str">
        <f t="shared" si="6"/>
        <v/>
      </c>
      <c r="P32" s="13" t="str">
        <f t="shared" si="7"/>
        <v/>
      </c>
      <c r="Q32" s="13" t="str">
        <f t="shared" si="8"/>
        <v>Normal</v>
      </c>
      <c r="R32" s="13" t="str">
        <f t="shared" si="9"/>
        <v>Normal</v>
      </c>
      <c r="S32" s="13" t="str">
        <f t="shared" si="10"/>
        <v/>
      </c>
      <c r="T32" s="13" t="str">
        <f t="shared" si="11"/>
        <v/>
      </c>
      <c r="U32" s="13" t="str">
        <f t="shared" si="12"/>
        <v/>
      </c>
    </row>
    <row r="33" spans="1:21" ht="15" customHeight="1" x14ac:dyDescent="0.35">
      <c r="A33" s="7">
        <v>30</v>
      </c>
      <c r="B33" s="15" t="s">
        <v>39</v>
      </c>
      <c r="C33" s="9" t="s">
        <v>49</v>
      </c>
      <c r="D33" s="10">
        <v>0.64583333333333304</v>
      </c>
      <c r="E33" s="10">
        <v>0.6875</v>
      </c>
      <c r="F33" s="11">
        <f t="shared" si="0"/>
        <v>1.0000000000000071</v>
      </c>
      <c r="G33" s="7" t="s">
        <v>12</v>
      </c>
      <c r="H33" s="7" t="s">
        <v>15</v>
      </c>
      <c r="I33" s="12">
        <v>0</v>
      </c>
      <c r="J33" s="13" t="str">
        <f t="shared" si="1"/>
        <v/>
      </c>
      <c r="K33" s="13" t="str">
        <f t="shared" si="2"/>
        <v/>
      </c>
      <c r="L33" s="13" t="str">
        <f t="shared" si="3"/>
        <v/>
      </c>
      <c r="M33" s="13" t="str">
        <f t="shared" si="4"/>
        <v/>
      </c>
      <c r="N33" s="13" t="str">
        <f t="shared" si="5"/>
        <v/>
      </c>
      <c r="O33" s="13" t="str">
        <f t="shared" si="6"/>
        <v/>
      </c>
      <c r="P33" s="13" t="str">
        <f t="shared" si="7"/>
        <v/>
      </c>
      <c r="Q33" s="13" t="str">
        <f t="shared" si="8"/>
        <v/>
      </c>
      <c r="R33" s="13" t="str">
        <f t="shared" si="9"/>
        <v>Normal</v>
      </c>
      <c r="S33" s="13" t="str">
        <f t="shared" si="10"/>
        <v/>
      </c>
      <c r="T33" s="13" t="str">
        <f t="shared" si="11"/>
        <v/>
      </c>
      <c r="U33" s="13" t="str">
        <f t="shared" si="12"/>
        <v/>
      </c>
    </row>
    <row r="34" spans="1:21" ht="15" customHeight="1" x14ac:dyDescent="0.35">
      <c r="A34" s="7">
        <v>31</v>
      </c>
      <c r="B34" s="15" t="s">
        <v>39</v>
      </c>
      <c r="C34" s="9" t="s">
        <v>50</v>
      </c>
      <c r="D34" s="10">
        <v>0.6875</v>
      </c>
      <c r="E34" s="10">
        <v>0.72916666666666696</v>
      </c>
      <c r="F34" s="11">
        <f t="shared" si="0"/>
        <v>1.0000000000000071</v>
      </c>
      <c r="G34" s="7" t="s">
        <v>12</v>
      </c>
      <c r="H34" s="7" t="s">
        <v>15</v>
      </c>
      <c r="I34" s="12">
        <v>0</v>
      </c>
      <c r="J34" s="13" t="str">
        <f t="shared" si="1"/>
        <v/>
      </c>
      <c r="K34" s="13" t="str">
        <f t="shared" si="2"/>
        <v/>
      </c>
      <c r="L34" s="13" t="str">
        <f t="shared" si="3"/>
        <v/>
      </c>
      <c r="M34" s="13" t="str">
        <f t="shared" si="4"/>
        <v/>
      </c>
      <c r="N34" s="13" t="str">
        <f t="shared" si="5"/>
        <v/>
      </c>
      <c r="O34" s="13" t="str">
        <f t="shared" si="6"/>
        <v/>
      </c>
      <c r="P34" s="13" t="str">
        <f t="shared" si="7"/>
        <v/>
      </c>
      <c r="Q34" s="13" t="str">
        <f t="shared" si="8"/>
        <v/>
      </c>
      <c r="R34" s="13" t="str">
        <f t="shared" si="9"/>
        <v/>
      </c>
      <c r="S34" s="13" t="str">
        <f t="shared" si="10"/>
        <v>Normal</v>
      </c>
      <c r="T34" s="13" t="str">
        <f t="shared" si="11"/>
        <v/>
      </c>
      <c r="U34" s="13" t="str">
        <f t="shared" si="12"/>
        <v/>
      </c>
    </row>
    <row r="35" spans="1:21" ht="15" customHeight="1" x14ac:dyDescent="0.35">
      <c r="A35" s="7">
        <v>32</v>
      </c>
      <c r="B35" s="15" t="s">
        <v>39</v>
      </c>
      <c r="C35" s="9" t="s">
        <v>51</v>
      </c>
      <c r="D35" s="10">
        <v>0.70833333333333304</v>
      </c>
      <c r="E35" s="10">
        <v>0.75</v>
      </c>
      <c r="F35" s="11">
        <f t="shared" si="0"/>
        <v>1.0000000000000071</v>
      </c>
      <c r="G35" s="7" t="s">
        <v>12</v>
      </c>
      <c r="H35" s="7" t="s">
        <v>15</v>
      </c>
      <c r="I35" s="12">
        <v>0</v>
      </c>
      <c r="J35" s="13" t="str">
        <f t="shared" si="1"/>
        <v/>
      </c>
      <c r="K35" s="13" t="str">
        <f t="shared" si="2"/>
        <v/>
      </c>
      <c r="L35" s="13" t="str">
        <f t="shared" si="3"/>
        <v/>
      </c>
      <c r="M35" s="13" t="str">
        <f t="shared" si="4"/>
        <v/>
      </c>
      <c r="N35" s="13" t="str">
        <f t="shared" si="5"/>
        <v/>
      </c>
      <c r="O35" s="13" t="str">
        <f t="shared" si="6"/>
        <v/>
      </c>
      <c r="P35" s="13" t="str">
        <f t="shared" si="7"/>
        <v/>
      </c>
      <c r="Q35" s="13" t="str">
        <f t="shared" si="8"/>
        <v/>
      </c>
      <c r="R35" s="13" t="str">
        <f t="shared" si="9"/>
        <v/>
      </c>
      <c r="S35" s="13" t="str">
        <f t="shared" si="10"/>
        <v>Normal</v>
      </c>
      <c r="T35" s="13" t="str">
        <f t="shared" si="11"/>
        <v/>
      </c>
      <c r="U35" s="13" t="str">
        <f t="shared" si="12"/>
        <v/>
      </c>
    </row>
    <row r="36" spans="1:21" ht="15" customHeight="1" x14ac:dyDescent="0.35">
      <c r="A36" s="7">
        <v>33</v>
      </c>
      <c r="B36" s="15" t="s">
        <v>39</v>
      </c>
      <c r="C36" s="9" t="s">
        <v>52</v>
      </c>
      <c r="D36" s="10">
        <v>0.75</v>
      </c>
      <c r="E36" s="10">
        <v>0.83333333333333304</v>
      </c>
      <c r="F36" s="11">
        <f t="shared" si="0"/>
        <v>1.9999999999999929</v>
      </c>
      <c r="G36" s="7" t="s">
        <v>23</v>
      </c>
      <c r="H36" s="7" t="s">
        <v>15</v>
      </c>
      <c r="I36" s="12">
        <v>0</v>
      </c>
      <c r="J36" s="13" t="str">
        <f t="shared" si="1"/>
        <v/>
      </c>
      <c r="K36" s="13" t="str">
        <f t="shared" si="2"/>
        <v/>
      </c>
      <c r="L36" s="13" t="str">
        <f t="shared" si="3"/>
        <v/>
      </c>
      <c r="M36" s="13" t="str">
        <f t="shared" si="4"/>
        <v/>
      </c>
      <c r="N36" s="13" t="str">
        <f t="shared" si="5"/>
        <v/>
      </c>
      <c r="O36" s="13" t="str">
        <f t="shared" si="6"/>
        <v/>
      </c>
      <c r="P36" s="13" t="str">
        <f t="shared" si="7"/>
        <v/>
      </c>
      <c r="Q36" s="13" t="str">
        <f t="shared" si="8"/>
        <v/>
      </c>
      <c r="R36" s="13" t="str">
        <f t="shared" si="9"/>
        <v/>
      </c>
      <c r="S36" s="13" t="str">
        <f t="shared" si="10"/>
        <v/>
      </c>
      <c r="T36" s="13" t="str">
        <f t="shared" si="11"/>
        <v>Heure sup</v>
      </c>
      <c r="U36" s="13" t="str">
        <f t="shared" si="12"/>
        <v>Heure sup</v>
      </c>
    </row>
    <row r="38" spans="1:21" ht="15" customHeight="1" x14ac:dyDescent="0.35">
      <c r="C38" s="16" t="s">
        <v>53</v>
      </c>
      <c r="F38" s="17">
        <f>SUM(F4:F36)</f>
        <v>54.999999999999986</v>
      </c>
    </row>
    <row r="40" spans="1:21" ht="15" customHeight="1" x14ac:dyDescent="0.35">
      <c r="B40" s="18" t="s">
        <v>54</v>
      </c>
      <c r="C40" s="19" t="s">
        <v>55</v>
      </c>
      <c r="D40" s="2" t="s">
        <v>56</v>
      </c>
      <c r="E40" s="2"/>
    </row>
    <row r="41" spans="1:21" x14ac:dyDescent="0.35">
      <c r="B41" s="18" t="s">
        <v>57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</sheetData>
  <mergeCells count="4">
    <mergeCell ref="A1:U1"/>
    <mergeCell ref="A2:U2"/>
    <mergeCell ref="D40:E40"/>
    <mergeCell ref="C41:U41"/>
  </mergeCells>
  <conditionalFormatting sqref="J4:U36">
    <cfRule type="expression" dxfId="1" priority="2">
      <formula>J4="Normal"</formula>
    </cfRule>
    <cfRule type="expression" dxfId="0" priority="3">
      <formula>J4="Heure sup"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zoomScaleNormal="100" workbookViewId="0"/>
  </sheetViews>
  <sheetFormatPr baseColWidth="10" defaultColWidth="8.6328125" defaultRowHeight="14.5" x14ac:dyDescent="0.35"/>
  <cols>
    <col min="1" max="1" width="14" customWidth="1"/>
    <col min="2" max="2" width="16" customWidth="1"/>
    <col min="3" max="3" width="14" customWidth="1"/>
    <col min="4" max="4" width="12" customWidth="1"/>
  </cols>
  <sheetData>
    <row r="1" spans="1:4" ht="25.5" customHeight="1" x14ac:dyDescent="0.35">
      <c r="A1" s="4" t="s">
        <v>58</v>
      </c>
      <c r="B1" s="4"/>
      <c r="C1" s="4"/>
      <c r="D1" s="4"/>
    </row>
    <row r="3" spans="1:4" ht="15" customHeight="1" x14ac:dyDescent="0.35">
      <c r="A3" s="5" t="s">
        <v>2</v>
      </c>
      <c r="B3" s="5" t="s">
        <v>55</v>
      </c>
      <c r="C3" s="5" t="s">
        <v>59</v>
      </c>
      <c r="D3" s="5" t="s">
        <v>60</v>
      </c>
    </row>
    <row r="4" spans="1:4" ht="15" customHeight="1" x14ac:dyDescent="0.35">
      <c r="A4" s="20" t="s">
        <v>61</v>
      </c>
      <c r="B4" s="21">
        <f>SUMIFS(Gantt!$F$4:$F$22,Gantt!$B$4:$B$22,$A4,Gantt!$G$4:$G$22,"Normal")</f>
        <v>0</v>
      </c>
      <c r="C4" s="21">
        <f>SUMIFS(Gantt!$F$4:$F$22,Gantt!$B$4:$B$22,$A4,Gantt!$G$4:$G$22,"Heure sup")</f>
        <v>0</v>
      </c>
      <c r="D4" s="21">
        <f>B4+C4</f>
        <v>0</v>
      </c>
    </row>
    <row r="5" spans="1:4" ht="15" customHeight="1" x14ac:dyDescent="0.35">
      <c r="A5" s="22" t="s">
        <v>62</v>
      </c>
      <c r="B5" s="21">
        <f>SUMIFS(Gantt!$F$4:$F$22,Gantt!$B$4:$B$22,$A5,Gantt!$G$4:$G$22,"Normal")</f>
        <v>0</v>
      </c>
      <c r="C5" s="21">
        <f>SUMIFS(Gantt!$F$4:$F$22,Gantt!$B$4:$B$22,$A5,Gantt!$G$4:$G$22,"Heure sup")</f>
        <v>0</v>
      </c>
      <c r="D5" s="21">
        <f>B5+C5</f>
        <v>0</v>
      </c>
    </row>
    <row r="6" spans="1:4" ht="15" customHeight="1" x14ac:dyDescent="0.35">
      <c r="A6" s="23" t="s">
        <v>63</v>
      </c>
      <c r="B6" s="21">
        <f>SUMIFS(Gantt!$F$4:$F$22,Gantt!$B$4:$B$22,$A6,Gantt!$G$4:$G$22,"Normal")</f>
        <v>0</v>
      </c>
      <c r="C6" s="21">
        <f>SUMIFS(Gantt!$F$4:$F$22,Gantt!$B$4:$B$22,$A6,Gantt!$G$4:$G$22,"Heure sup")</f>
        <v>0</v>
      </c>
      <c r="D6" s="21">
        <f>B6+C6</f>
        <v>0</v>
      </c>
    </row>
    <row r="7" spans="1:4" ht="15" customHeight="1" x14ac:dyDescent="0.35">
      <c r="A7" s="24" t="s">
        <v>64</v>
      </c>
      <c r="B7" s="21">
        <f>SUMIFS(Gantt!$F$4:$F$22,Gantt!$B$4:$B$22,$A7,Gantt!$G$4:$G$22,"Normal")</f>
        <v>0</v>
      </c>
      <c r="C7" s="21">
        <f>SUMIFS(Gantt!$F$4:$F$22,Gantt!$B$4:$B$22,$A7,Gantt!$G$4:$G$22,"Heure sup")</f>
        <v>0</v>
      </c>
      <c r="D7" s="21">
        <f>B7+C7</f>
        <v>0</v>
      </c>
    </row>
    <row r="8" spans="1:4" ht="15" customHeight="1" x14ac:dyDescent="0.35">
      <c r="A8" s="16" t="s">
        <v>53</v>
      </c>
      <c r="B8" s="25">
        <f>SUM(B4:B7)</f>
        <v>0</v>
      </c>
      <c r="C8" s="25">
        <f>SUM(C4:C7)</f>
        <v>0</v>
      </c>
      <c r="D8" s="25">
        <f>SUM(D4:D7)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Gantt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Maximilien Darvas</cp:lastModifiedBy>
  <cp:revision>2</cp:revision>
  <dcterms:created xsi:type="dcterms:W3CDTF">2026-09-14T09:28:29Z</dcterms:created>
  <dcterms:modified xsi:type="dcterms:W3CDTF">2026-10-09T06:41:38Z</dcterms:modified>
  <dc:language>en-US</dc:language>
</cp:coreProperties>
</file>