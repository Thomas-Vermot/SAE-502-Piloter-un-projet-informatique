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xda\Downloads\projett\"/>
    </mc:Choice>
  </mc:AlternateContent>
  <xr:revisionPtr revIDLastSave="0" documentId="13_ncr:1_{70D43BD0-07C3-495F-8721-91295CA1BE68}" xr6:coauthVersionLast="47" xr6:coauthVersionMax="47" xr10:uidLastSave="{00000000-0000-0000-0000-000000000000}"/>
  <bookViews>
    <workbookView xWindow="-110" yWindow="-110" windowWidth="25820" windowHeight="16220" tabRatio="500" xr2:uid="{00000000-000D-0000-FFFF-FFFF00000000}"/>
  </bookViews>
  <sheets>
    <sheet name="Synthèse" sheetId="1" r:id="rId1"/>
    <sheet name="Hypothèses" sheetId="2" r:id="rId2"/>
    <sheet name="Matériel" sheetId="3" r:id="rId3"/>
    <sheet name="Abonnements" sheetId="4" r:id="rId4"/>
    <sheet name="Installation" sheetId="5" r:id="rId5"/>
    <sheet name="Planning" sheetId="6" r:id="rId6"/>
    <sheet name="Scénarios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6" i="7" l="1"/>
  <c r="E6" i="7" s="1"/>
  <c r="D5" i="7"/>
  <c r="F5" i="7" s="1"/>
  <c r="C5" i="7"/>
  <c r="E5" i="7" s="1"/>
  <c r="C4" i="7"/>
  <c r="E4" i="7" s="1"/>
  <c r="D9" i="6"/>
  <c r="C9" i="6"/>
  <c r="D8" i="6"/>
  <c r="D6" i="7" s="1"/>
  <c r="F6" i="7" s="1"/>
  <c r="C8" i="6"/>
  <c r="G7" i="6"/>
  <c r="F7" i="6"/>
  <c r="I7" i="6" s="1"/>
  <c r="E7" i="6"/>
  <c r="G5" i="6"/>
  <c r="F5" i="6"/>
  <c r="I5" i="6" s="1"/>
  <c r="E5" i="6"/>
  <c r="H10" i="5"/>
  <c r="F10" i="5"/>
  <c r="E10" i="5"/>
  <c r="D10" i="5"/>
  <c r="C10" i="5"/>
  <c r="G10" i="5" s="1"/>
  <c r="H9" i="5"/>
  <c r="F9" i="5"/>
  <c r="E9" i="5"/>
  <c r="D9" i="5"/>
  <c r="C9" i="5"/>
  <c r="G9" i="5" s="1"/>
  <c r="F8" i="5"/>
  <c r="E8" i="5"/>
  <c r="G8" i="5" s="1"/>
  <c r="D8" i="5"/>
  <c r="H8" i="5" s="1"/>
  <c r="H14" i="5" s="1"/>
  <c r="C9" i="1" s="1"/>
  <c r="C8" i="5"/>
  <c r="H7" i="5"/>
  <c r="D7" i="5"/>
  <c r="C7" i="5"/>
  <c r="G7" i="5" s="1"/>
  <c r="H6" i="5"/>
  <c r="G6" i="5"/>
  <c r="H5" i="5"/>
  <c r="G5" i="5"/>
  <c r="F8" i="4"/>
  <c r="F11" i="5" s="1"/>
  <c r="H11" i="5" s="1"/>
  <c r="E8" i="4"/>
  <c r="E11" i="5" s="1"/>
  <c r="G11" i="5" s="1"/>
  <c r="D8" i="4"/>
  <c r="D10" i="4" s="1"/>
  <c r="C13" i="1" s="1"/>
  <c r="C8" i="4"/>
  <c r="C10" i="4" s="1"/>
  <c r="B13" i="1" s="1"/>
  <c r="H22" i="3"/>
  <c r="G22" i="3"/>
  <c r="H21" i="3"/>
  <c r="G21" i="3"/>
  <c r="H20" i="3"/>
  <c r="G20" i="3"/>
  <c r="H19" i="3"/>
  <c r="G19" i="3"/>
  <c r="H18" i="3"/>
  <c r="G18" i="3"/>
  <c r="H17" i="3"/>
  <c r="G17" i="3"/>
  <c r="H16" i="3"/>
  <c r="G16" i="3"/>
  <c r="H15" i="3"/>
  <c r="G15" i="3"/>
  <c r="H14" i="3"/>
  <c r="G14" i="3"/>
  <c r="H13" i="3"/>
  <c r="G13" i="3"/>
  <c r="H12" i="3"/>
  <c r="G12" i="3"/>
  <c r="H11" i="3"/>
  <c r="G11" i="3"/>
  <c r="H10" i="3"/>
  <c r="G10" i="3"/>
  <c r="H9" i="3"/>
  <c r="G9" i="3"/>
  <c r="H8" i="3"/>
  <c r="G8" i="3"/>
  <c r="H7" i="3"/>
  <c r="H23" i="3" s="1"/>
  <c r="C5" i="1" s="1"/>
  <c r="G7" i="3"/>
  <c r="H6" i="3"/>
  <c r="G6" i="3"/>
  <c r="H5" i="3"/>
  <c r="G5" i="3"/>
  <c r="G23" i="3" s="1"/>
  <c r="B5" i="1" s="1"/>
  <c r="B12" i="1"/>
  <c r="H12" i="5" l="1"/>
  <c r="C6" i="1" s="1"/>
  <c r="G14" i="5"/>
  <c r="B9" i="1" s="1"/>
  <c r="C10" i="1"/>
  <c r="C7" i="1"/>
  <c r="C8" i="1" s="1"/>
  <c r="C14" i="1" s="1"/>
  <c r="G12" i="5"/>
  <c r="B6" i="1" s="1"/>
  <c r="B10" i="1" s="1"/>
  <c r="Q5" i="6"/>
  <c r="H7" i="6"/>
  <c r="Z7" i="6" s="1"/>
  <c r="R5" i="6"/>
  <c r="S5" i="6"/>
  <c r="C12" i="1"/>
  <c r="D4" i="7"/>
  <c r="F4" i="7" s="1"/>
  <c r="H5" i="6"/>
  <c r="X5" i="6" s="1"/>
  <c r="E6" i="6"/>
  <c r="F6" i="6" s="1"/>
  <c r="Z5" i="6"/>
  <c r="N5" i="6"/>
  <c r="X7" i="6"/>
  <c r="V7" i="6" l="1"/>
  <c r="U7" i="6"/>
  <c r="T7" i="6"/>
  <c r="W7" i="6"/>
  <c r="S7" i="6"/>
  <c r="O7" i="6"/>
  <c r="Q7" i="6"/>
  <c r="J7" i="6"/>
  <c r="G6" i="6"/>
  <c r="J5" i="6"/>
  <c r="Y5" i="6"/>
  <c r="R7" i="6"/>
  <c r="U5" i="6"/>
  <c r="W5" i="6"/>
  <c r="B8" i="1"/>
  <c r="B14" i="1" s="1"/>
  <c r="P7" i="6"/>
  <c r="B7" i="1"/>
  <c r="I6" i="6"/>
  <c r="E8" i="6"/>
  <c r="F8" i="6" s="1"/>
  <c r="V5" i="6"/>
  <c r="O5" i="6"/>
  <c r="N7" i="6"/>
  <c r="Y7" i="6"/>
  <c r="T5" i="6"/>
  <c r="P5" i="6"/>
  <c r="H6" i="6" l="1"/>
  <c r="Z6" i="6"/>
  <c r="Y6" i="6"/>
  <c r="X6" i="6"/>
  <c r="U6" i="6"/>
  <c r="R6" i="6"/>
  <c r="T6" i="6"/>
  <c r="V6" i="6"/>
  <c r="S6" i="6"/>
  <c r="W6" i="6"/>
  <c r="Q6" i="6"/>
  <c r="P6" i="6"/>
  <c r="O6" i="6"/>
  <c r="N6" i="6"/>
  <c r="E9" i="6"/>
  <c r="F9" i="6" s="1"/>
  <c r="I8" i="6"/>
  <c r="I9" i="6" l="1"/>
  <c r="E10" i="6"/>
  <c r="F10" i="6" s="1"/>
  <c r="J6" i="6"/>
  <c r="G8" i="6"/>
  <c r="I10" i="6" l="1"/>
  <c r="E11" i="6"/>
  <c r="F11" i="6" s="1"/>
  <c r="H8" i="6"/>
  <c r="N8" i="6"/>
  <c r="Y8" i="6"/>
  <c r="X8" i="6"/>
  <c r="W8" i="6"/>
  <c r="V8" i="6"/>
  <c r="J8" i="6" l="1"/>
  <c r="G9" i="6"/>
  <c r="O8" i="6"/>
  <c r="Z8" i="6"/>
  <c r="P8" i="6"/>
  <c r="Q8" i="6"/>
  <c r="R8" i="6"/>
  <c r="S8" i="6"/>
  <c r="T8" i="6"/>
  <c r="U8" i="6"/>
  <c r="I11" i="6"/>
  <c r="F12" i="6"/>
  <c r="I12" i="6" s="1"/>
  <c r="H9" i="6" l="1"/>
  <c r="O9" i="6" s="1"/>
  <c r="U9" i="6"/>
  <c r="W9" i="6"/>
  <c r="V9" i="6"/>
  <c r="Z9" i="6"/>
  <c r="T9" i="6"/>
  <c r="S9" i="6"/>
  <c r="R9" i="6"/>
  <c r="Q9" i="6"/>
  <c r="X9" i="6" l="1"/>
  <c r="G10" i="6"/>
  <c r="J9" i="6"/>
  <c r="N9" i="6"/>
  <c r="Y9" i="6"/>
  <c r="P9" i="6"/>
  <c r="H10" i="6" l="1"/>
  <c r="Z10" i="6"/>
  <c r="V10" i="6"/>
  <c r="Y10" i="6"/>
  <c r="X10" i="6"/>
  <c r="U10" i="6"/>
  <c r="R10" i="6"/>
  <c r="T10" i="6"/>
  <c r="W10" i="6"/>
  <c r="S10" i="6"/>
  <c r="Q10" i="6"/>
  <c r="P10" i="6"/>
  <c r="O10" i="6"/>
  <c r="N10" i="6"/>
  <c r="G11" i="6" l="1"/>
  <c r="J10" i="6"/>
  <c r="N11" i="6" l="1"/>
  <c r="H11" i="6"/>
  <c r="O11" i="6" s="1"/>
  <c r="J11" i="6" l="1"/>
  <c r="H12" i="6"/>
  <c r="J12" i="6" s="1"/>
  <c r="S11" i="6"/>
  <c r="P11" i="6"/>
  <c r="Q11" i="6"/>
  <c r="R11" i="6"/>
  <c r="U11" i="6"/>
  <c r="V11" i="6"/>
  <c r="T11" i="6"/>
  <c r="W11" i="6"/>
  <c r="X11" i="6"/>
  <c r="Y11" i="6"/>
  <c r="Z11" i="6"/>
</calcChain>
</file>

<file path=xl/sharedStrings.xml><?xml version="1.0" encoding="utf-8"?>
<sst xmlns="http://schemas.openxmlformats.org/spreadsheetml/2006/main" count="244" uniqueCount="216">
  <si>
    <t>Hôpital de campagne – Synthèse du projet réseau</t>
  </si>
  <si>
    <t>Matériel + installation + abonnements + planning. Tout est calculé à partir des autres onglets.</t>
  </si>
  <si>
    <t>Poste</t>
  </si>
  <si>
    <t>Minimum</t>
  </si>
  <si>
    <t>Maximum</t>
  </si>
  <si>
    <t>Détail</t>
  </si>
  <si>
    <t>Matériel réseau</t>
  </si>
  <si>
    <t>Onglet Matériel</t>
  </si>
  <si>
    <t>Installation (fournitures, main d'œuvre, liens)</t>
  </si>
  <si>
    <t>Onglet Installation</t>
  </si>
  <si>
    <t>Aléas</t>
  </si>
  <si>
    <t>% défini dans Hypothèses</t>
  </si>
  <si>
    <t>TOTAL À L'INSTALLATION</t>
  </si>
  <si>
    <t xml:space="preserve">   dont main d'œuvre (aléas non inclus)</t>
  </si>
  <si>
    <t>Économisable si l'installation est faite en interne</t>
  </si>
  <si>
    <t xml:space="preserve">   total sans main d'œuvre (aléas inclus)</t>
  </si>
  <si>
    <t>Projet réalisé par l'équipe elle-même</t>
  </si>
  <si>
    <t>Abonnements Internet par mois</t>
  </si>
  <si>
    <t>3 liens : Orange FTTO, Free, 5G</t>
  </si>
  <si>
    <t>Abonnements Internet par an</t>
  </si>
  <si>
    <t>COÛT DE LA PREMIÈRE ANNÉE</t>
  </si>
  <si>
    <t>Installation + 12 mois d'abonnement</t>
  </si>
  <si>
    <t>Hypothèses du projet – hôpital de campagne</t>
  </si>
  <si>
    <t>Cellules bleues sur fond jaune = à modifier ; tout le reste du classeur se recalcule. Montants HT, estimations indicatives (devis à obtenir).</t>
  </si>
  <si>
    <t>Paramètre</t>
  </si>
  <si>
    <t>Valeur</t>
  </si>
  <si>
    <t>Unité / source</t>
  </si>
  <si>
    <t>Effectif de l'équipe technique</t>
  </si>
  <si>
    <t>personnes (1 = projet seul, 2 à 3 = équipe)</t>
  </si>
  <si>
    <t>Jours ouvrés par semaine</t>
  </si>
  <si>
    <t>jours</t>
  </si>
  <si>
    <t>Charge de configuration – minimum</t>
  </si>
  <si>
    <t>jours-homme (estimation)</t>
  </si>
  <si>
    <t>Charge de configuration – maximum</t>
  </si>
  <si>
    <t>Commande des liens Internet (début)</t>
  </si>
  <si>
    <t>jours après le lancement (0 = commandés dès le début)</t>
  </si>
  <si>
    <t>Tarif journalier ingénieur réseau</t>
  </si>
  <si>
    <t>€ HT / jour (pratique courante en France)</t>
  </si>
  <si>
    <t>Tarif journalier technicien</t>
  </si>
  <si>
    <t>Montage physique des équipements</t>
  </si>
  <si>
    <t>jours-homme (baies, brassage, étiquetage)</t>
  </si>
  <si>
    <t>Gestion de projet et recette</t>
  </si>
  <si>
    <t>jours-homme</t>
  </si>
  <si>
    <t>% appliqué au matériel + installation</t>
  </si>
  <si>
    <t>Inclure les onduleurs (1 = oui, 0 = non)</t>
  </si>
  <si>
    <t>fourniture annexe, hors diagramme</t>
  </si>
  <si>
    <t>Périmètre : bâtiment existant, câblage et génie civil intérieur déjà réalisés ; génie civil extérieur exclu.</t>
  </si>
  <si>
    <t>Pare-feu : OPNsense (Deciso DEC740) comme dans le diagramme. Avec un Stormshield (cité dans le PDF des liens), prévoir environ +1 000 à 1 500 €.</t>
  </si>
  <si>
    <t>Sources des liens Internet : document « Coût des liens Internet, hôpital de campagne » fourni (Selectra, Echos du Net, LaFibreOptique, Arcep).</t>
  </si>
  <si>
    <t>Matériel réseau – correspondance avec le diagramme</t>
  </si>
  <si>
    <t>Prix indicatifs HT (2025-2026). PU = prix unitaire. Alternatives moins chères indiquées dans les modèles.</t>
  </si>
  <si>
    <t>Équipement du diagramme</t>
  </si>
  <si>
    <t>Marque</t>
  </si>
  <si>
    <t>Modèle</t>
  </si>
  <si>
    <t>Qté</t>
  </si>
  <si>
    <t>PU min (€)</t>
  </si>
  <si>
    <t>PU max (€)</t>
  </si>
  <si>
    <t>Total min (€)</t>
  </si>
  <si>
    <t>Total max (€)</t>
  </si>
  <si>
    <t>Rôle / caractéristiques</t>
  </si>
  <si>
    <t>Pare-feu OPNsense</t>
  </si>
  <si>
    <t>Deciso</t>
  </si>
  <si>
    <t>DEC740 (OPNsense préinstallé)</t>
  </si>
  <si>
    <t>IDS/IPS Suricata, VPN, Radius, portail captif, ~10 Gb/s, ports 10GbE SFP+ et 2,5GbE</t>
  </si>
  <si>
    <t>Switch L2 WAN (liens FTTO/FTTH/5G)</t>
  </si>
  <si>
    <t>TP-Link</t>
  </si>
  <si>
    <t>Omada SG2210P (ou TL-SG108E)</t>
  </si>
  <si>
    <t>8 ports gigabit, VLAN 802.1Q, administrable</t>
  </si>
  <si>
    <t>Switch L2 côté firewall</t>
  </si>
  <si>
    <t>Cisco</t>
  </si>
  <si>
    <t>CBS350-24T-4G</t>
  </si>
  <si>
    <t>24 ports gigabit, 4 SFP, VLAN, STP, LACP</t>
  </si>
  <si>
    <t>Routeurs de cœur et distribution (OSPF)</t>
  </si>
  <si>
    <t>MikroTik</t>
  </si>
  <si>
    <t>RB5009UG+S+IN</t>
  </si>
  <si>
    <t>OSPF, VRRP, 7 ports gigabit + 1 SFP+ 10G</t>
  </si>
  <si>
    <t>Switch L2 LAN 1 (salle d'opération)</t>
  </si>
  <si>
    <t>CBS250-24PP-4G</t>
  </si>
  <si>
    <t>24 ports gigabit, PoE+ 100 W, VLAN</t>
  </si>
  <si>
    <t>Switch L2 LAN 2 (labo/stock)</t>
  </si>
  <si>
    <t>PoE+ pour alimenter la borne Wi-Fi</t>
  </si>
  <si>
    <t>Switch L2 LAN 3 (hall)</t>
  </si>
  <si>
    <t>PoE pour borne, téléphone IP et capteur</t>
  </si>
  <si>
    <t>Switch L2 LAN 4 (chambre)</t>
  </si>
  <si>
    <t>CBS250-8PP-D</t>
  </si>
  <si>
    <t>8 ports PoE+, sans ventilateur (silencieux)</t>
  </si>
  <si>
    <t>Switch L2 LAN 5 (serveurs)</t>
  </si>
  <si>
    <t>Liaisons stables vers les serveurs, SFP en liaison montante</t>
  </si>
  <si>
    <t>Bornes Wi-Fi (LAN 2 et LAN 3, roaming)</t>
  </si>
  <si>
    <t>Ubiquiti</t>
  </si>
  <si>
    <t>UniFi U6 Pro (ou TP-Link EAP650)</t>
  </si>
  <si>
    <t>Wi-Fi 6, PoE, roaming 802.11r/k/v, SSID par VLAN, Radius</t>
  </si>
  <si>
    <t>Contrôleur Wi-Fi</t>
  </si>
  <si>
    <t>UniFi Cloud Gateway / contrôleur logiciel</t>
  </si>
  <si>
    <t>Gestion centralisée du roaming (logiciel sur serveur = gratuit)</t>
  </si>
  <si>
    <t>Serveur Windows DHCP/DNS/AD (.1)</t>
  </si>
  <si>
    <t>Dell</t>
  </si>
  <si>
    <t>PowerEdge T150 + Windows Server 2022 Essentials</t>
  </si>
  <si>
    <t>Xeon E-2300, 16 Go ECC, 2 disques en RAID 1</t>
  </si>
  <si>
    <t>Serveur WEB/BDD (.2)</t>
  </si>
  <si>
    <t>PowerEdge T150</t>
  </si>
  <si>
    <t>Linux, MariaDB (3306), application web (3000)</t>
  </si>
  <si>
    <t>Serveur MQTT/Node-RED (.3)</t>
  </si>
  <si>
    <t>Intel</t>
  </si>
  <si>
    <t>NUC 13 Pro (ou Raspberry Pi 5, ≈ 100 €)</t>
  </si>
  <si>
    <t>Mosquitto (1883), Node-RED (1880), dashboard (8883)</t>
  </si>
  <si>
    <t>Serveur de téléphonie (.4)</t>
  </si>
  <si>
    <t>OptiPlex Micro (Asterisk/FreePBX)</t>
  </si>
  <si>
    <t>Appels internes SIP, léger</t>
  </si>
  <si>
    <t>Téléphones IP (LAN 3 et LAN 4)</t>
  </si>
  <si>
    <t>Yealink</t>
  </si>
  <si>
    <t>SIP-T31P</t>
  </si>
  <si>
    <t>SIP, PoE, 2 ports gigabit</t>
  </si>
  <si>
    <t>Capteur MQTT (MQTTS)</t>
  </si>
  <si>
    <t>Shelly / Milesight</t>
  </si>
  <si>
    <t>Passerelle capteur compatible MQTT TLS</t>
  </si>
  <si>
    <t>Publie en MQTT sur TLS</t>
  </si>
  <si>
    <t>PC (hall d'accueil)</t>
  </si>
  <si>
    <t>OptiPlex 3000 Micro</t>
  </si>
  <si>
    <t>Poste d'accueil, Ethernet gigabit</t>
  </si>
  <si>
    <t>TOTAL MATÉRIEL</t>
  </si>
  <si>
    <t>Liens Internet – abonnements et installation</t>
  </si>
  <si>
    <t>Source : document « Coût des liens Internet, hôpital de campagne » fourni (montants HT indicatifs, seul un devis fait foi).</t>
  </si>
  <si>
    <t>Lien</t>
  </si>
  <si>
    <t>VLAN</t>
  </si>
  <si>
    <t>Abonnement mensuel min (€)</t>
  </si>
  <si>
    <t>Abonnement mensuel max (€)</t>
  </si>
  <si>
    <t>Installation min (€)</t>
  </si>
  <si>
    <t>Installation max (€)</t>
  </si>
  <si>
    <t>Remarque</t>
  </si>
  <si>
    <t>Fibre Orange FTTO</t>
  </si>
  <si>
    <t>10</t>
  </si>
  <si>
    <t>Fibre dédiée entreprise, GTR 4 h, débit symétrique. Frais selon distance au réseau opérateur (génie civil exclu).</t>
  </si>
  <si>
    <t>Fibre Free (Freebox Pro)</t>
  </si>
  <si>
    <t>20</t>
  </si>
  <si>
    <t>Fibre mutualisée, sans garantie de rétablissement. Installation à confirmer auprès de Free.</t>
  </si>
  <si>
    <t>5G data pro (double SIM)</t>
  </si>
  <si>
    <t>30</t>
  </si>
  <si>
    <t>Lien de secours ; cartes SIM de quelques dizaines d'euros (négligeable).</t>
  </si>
  <si>
    <t>TOTAL</t>
  </si>
  <si>
    <t>Coût annuel des abonnements</t>
  </si>
  <si>
    <t>Basculement automatique par le pare-feu : Orange, puis Free, puis 5G (secours).</t>
  </si>
  <si>
    <t>Installation et main d'œuvre</t>
  </si>
  <si>
    <t>Bâtiment existant : câblage et génie civil intérieur déjà faits, donc non comptés. Génie civil extérieur exclu.</t>
  </si>
  <si>
    <t>Type</t>
  </si>
  <si>
    <t>Qté min</t>
  </si>
  <si>
    <t>Qté max</t>
  </si>
  <si>
    <t>Cordons de brassage et multiprises</t>
  </si>
  <si>
    <t>Fourniture</t>
  </si>
  <si>
    <t>Forfait</t>
  </si>
  <si>
    <t>Routeur 5G (ex. Teltonika RUTX50)</t>
  </si>
  <si>
    <t>Cité dans le PDF des liens, absent du tableau matériel</t>
  </si>
  <si>
    <t>Onduleurs (1 gros + 3 petits)</t>
  </si>
  <si>
    <t>Optionnel, hors diagramme (voir Hypothèses)</t>
  </si>
  <si>
    <t>Main d'œuvre</t>
  </si>
  <si>
    <t>Technicien : fixation en baie, brassage, étiquetage</t>
  </si>
  <si>
    <t>Configuration de tous les équipements</t>
  </si>
  <si>
    <t>Ingénieur réseau : firewall, routeurs, switchs, Wi-Fi, serveurs, postes</t>
  </si>
  <si>
    <t>Coordination, documentation, tests finaux</t>
  </si>
  <si>
    <t>Frais d'installation des liens Internet</t>
  </si>
  <si>
    <t>Opérateurs</t>
  </si>
  <si>
    <t>Selon le PDF des liens (0 à 3 500 €)</t>
  </si>
  <si>
    <t>SOUS-TOTAL INSTALLATION (hors aléas)</t>
  </si>
  <si>
    <t>Dont main d'œuvre</t>
  </si>
  <si>
    <t>Planning estimé – de la commande à la mise en service</t>
  </si>
  <si>
    <t>Durées en jours ouvrés. Gantt (colonnes N à Z) : pire cas, par semaine. Les durées de configuration dépendent de l'effectif (onglet Hypothèses).</t>
  </si>
  <si>
    <t>N°</t>
  </si>
  <si>
    <t>Phase</t>
  </si>
  <si>
    <t>Durée min (j)</t>
  </si>
  <si>
    <t>Durée max (j)</t>
  </si>
  <si>
    <t>Début min (j)</t>
  </si>
  <si>
    <t>Fin min (j)</t>
  </si>
  <si>
    <t>Début max (j)</t>
  </si>
  <si>
    <t>Fin max (j)</t>
  </si>
  <si>
    <t>Fin min (sem)</t>
  </si>
  <si>
    <t>Fin max (sem)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</si>
  <si>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</si>
  <si>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</si>
  <si>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</si>
  <si>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</si>
  <si>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</si>
  <si>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</si>
  <si>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</si>
  <si>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</si>
  <si>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</si>
  <si>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</si>
  <si>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</si>
  <si>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</si>
  <si>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</si>
  <si>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Étude et commandes (plan IP/VLAN, devis, commandes)</t>
  </si>
  <si>
    <t>Commander les liens en priorité.</t>
  </si>
  <si>
    <t>Livraison du matériel</t>
  </si>
  <si>
    <t>Selon le stock du revendeur.</t>
  </si>
  <si>
    <t>Raccordement des liens Internet</t>
  </si>
  <si>
    <t>5G en quelques jours, Free 2 à 6 sem., Orange FTTO 4 à 12 sem.</t>
  </si>
  <si>
    <t>Montage physique (baies, brassage, étiquetage)</t>
  </si>
  <si>
    <t>Dès réception du matériel.</t>
  </si>
  <si>
    <t>Configuration (firewall, routeurs, switchs, Wi-Fi, serveurs, postes)</t>
  </si>
  <si>
    <t>Charge en jours-homme divisée par l'effectif.</t>
  </si>
  <si>
    <t>Tests et recette (bascule, roaming, VRRP, sauvegardes)</t>
  </si>
  <si>
    <t>Documentation incluse.</t>
  </si>
  <si>
    <t>Mise en service interne et prise en main</t>
  </si>
  <si>
    <t>Réseau interne sur 5G/Free si Orange pas prêt.</t>
  </si>
  <si>
    <t>Mise en service complète (tous les liens prêts)</t>
  </si>
  <si>
    <t>Dépend surtout du délai de l'Orange FTTO.</t>
  </si>
  <si>
    <t>Durée selon la taille de l'équipe</t>
  </si>
  <si>
    <t>Scénario</t>
  </si>
  <si>
    <t>Effectif</t>
  </si>
  <si>
    <t>Réseau interne prêt – min (sem)</t>
  </si>
  <si>
    <t>Réseau interne prêt – max (sem)</t>
  </si>
  <si>
    <t>Tous liens prêts – min (sem)</t>
  </si>
  <si>
    <t>Tous liens prêts – max (sem)</t>
  </si>
  <si>
    <t>1 seule personne (projet scolaire)</t>
  </si>
  <si>
    <t>Équipe de 2</t>
  </si>
  <si>
    <t>Équipe de 3</t>
  </si>
  <si>
    <t>Le réseau interne peut être mis en service avant l'Orange FTTO (sur 5G ou Free) ; « tous liens prêts » est limité par le délai de l'opérateur.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</si>
</sst>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&quot; €&quot;;\-#,##0&quot; €&quot;;\-"/>
    <numFmt numFmtId="165" formatCode="0.0"/>
    <numFmt numFmtId="166" formatCode=";;;"/>
  </numFmts>
  <fonts count="9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10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i/>
      <sz val="9"/>
      <name val="Arial"/>
      <charset val="1"/>
    </font>
    <font>
      <sz val="10"/>
      <color rgb="FF0080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CCFF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164" fontId="5" fillId="3" borderId="1" xfId="0" applyNumberFormat="1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165" fontId="5" fillId="3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164" fontId="6" fillId="4" borderId="1" xfId="0" applyNumberFormat="1" applyFont="1" applyFill="1" applyBorder="1" applyAlignment="1">
      <alignment horizontal="center" vertical="center" wrapText="1"/>
    </xf>
    <xf numFmtId="9" fontId="6" fillId="4" borderId="1" xfId="0" applyNumberFormat="1" applyFont="1" applyFill="1" applyBorder="1" applyAlignment="1">
      <alignment horizontal="center" vertical="center" wrapText="1"/>
    </xf>
    <xf numFmtId="0" fontId="7" fillId="0" borderId="0" xfId="0" applyFont="1"/>
    <xf numFmtId="0" fontId="6" fillId="0" borderId="1" xfId="0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 vertical="center" wrapText="1"/>
    </xf>
    <xf numFmtId="166" fontId="0" fillId="0" borderId="1" xfId="0" applyNumberFormat="1" applyBorder="1"/>
  </cellXfs>
  <cellStyles count="1">
    <cellStyle name="Normal" xfId="0" builtinId="0"/>
  </cellStyles>
  <dxfs count="1">
    <dxf>
      <fill>
        <patternFill>
          <bgColor rgb="FF2E75B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showGridLines="0" tabSelected="1" zoomScaleNormal="100" workbookViewId="0">
      <selection activeCell="C27" sqref="C27"/>
    </sheetView>
  </sheetViews>
  <sheetFormatPr baseColWidth="10" defaultColWidth="8.6328125" defaultRowHeight="14.5" x14ac:dyDescent="0.35"/>
  <cols>
    <col min="1" max="1" width="52" customWidth="1"/>
    <col min="2" max="3" width="16" customWidth="1"/>
    <col min="4" max="4" width="52" customWidth="1"/>
  </cols>
  <sheetData>
    <row r="1" spans="1:4" ht="18" x14ac:dyDescent="0.4">
      <c r="A1" s="1" t="s">
        <v>0</v>
      </c>
    </row>
    <row r="2" spans="1:4" x14ac:dyDescent="0.35">
      <c r="A2" s="2" t="s">
        <v>1</v>
      </c>
    </row>
    <row r="4" spans="1:4" ht="21.75" customHeight="1" x14ac:dyDescent="0.3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35">
      <c r="A5" s="4" t="s">
        <v>6</v>
      </c>
      <c r="B5" s="5">
        <f>Matériel!G23</f>
        <v>9060</v>
      </c>
      <c r="C5" s="5">
        <f>Matériel!H23</f>
        <v>9190</v>
      </c>
      <c r="D5" s="4" t="s">
        <v>7</v>
      </c>
    </row>
    <row r="6" spans="1:4" x14ac:dyDescent="0.35">
      <c r="A6" s="4" t="s">
        <v>8</v>
      </c>
      <c r="B6" s="5">
        <f>Installation!G12</f>
        <v>17550</v>
      </c>
      <c r="C6" s="5">
        <f>Installation!H12</f>
        <v>23650</v>
      </c>
      <c r="D6" s="4" t="s">
        <v>9</v>
      </c>
    </row>
    <row r="7" spans="1:4" x14ac:dyDescent="0.35">
      <c r="A7" s="4" t="s">
        <v>10</v>
      </c>
      <c r="B7" s="5">
        <f>Hypothèses!B14*(B5+B6)</f>
        <v>2661</v>
      </c>
      <c r="C7" s="5">
        <f>Hypothèses!B14*(C5+C6)</f>
        <v>3284</v>
      </c>
      <c r="D7" s="4" t="s">
        <v>11</v>
      </c>
    </row>
    <row r="8" spans="1:4" x14ac:dyDescent="0.35">
      <c r="A8" s="6" t="s">
        <v>12</v>
      </c>
      <c r="B8" s="7">
        <f>SUM(B5:B7)</f>
        <v>29271</v>
      </c>
      <c r="C8" s="7">
        <f>SUM(C5:C7)</f>
        <v>36124</v>
      </c>
      <c r="D8" s="6"/>
    </row>
    <row r="9" spans="1:4" x14ac:dyDescent="0.35">
      <c r="A9" s="4" t="s">
        <v>13</v>
      </c>
      <c r="B9" s="5">
        <f>Installation!G14</f>
        <v>15850</v>
      </c>
      <c r="C9" s="5">
        <f>Installation!H14</f>
        <v>18450</v>
      </c>
      <c r="D9" s="4" t="s">
        <v>14</v>
      </c>
    </row>
    <row r="10" spans="1:4" x14ac:dyDescent="0.35">
      <c r="A10" s="4" t="s">
        <v>15</v>
      </c>
      <c r="B10" s="5">
        <f>(B5+B6-B9)*(1+Hypothèses!B14)</f>
        <v>11836.000000000002</v>
      </c>
      <c r="C10" s="5">
        <f>(C5+C6-C9)*(1+Hypothèses!B14)</f>
        <v>15829.000000000002</v>
      </c>
      <c r="D10" s="4" t="s">
        <v>16</v>
      </c>
    </row>
    <row r="12" spans="1:4" x14ac:dyDescent="0.35">
      <c r="A12" s="4" t="s">
        <v>17</v>
      </c>
      <c r="B12" s="5">
        <f>Abonnements!C8</f>
        <v>360</v>
      </c>
      <c r="C12" s="5">
        <f>Abonnements!D8</f>
        <v>1800</v>
      </c>
      <c r="D12" s="4" t="s">
        <v>18</v>
      </c>
    </row>
    <row r="13" spans="1:4" x14ac:dyDescent="0.35">
      <c r="A13" s="4" t="s">
        <v>19</v>
      </c>
      <c r="B13" s="5">
        <f>Abonnements!C10</f>
        <v>4320</v>
      </c>
      <c r="C13" s="5">
        <f>Abonnements!D10</f>
        <v>21600</v>
      </c>
      <c r="D13" s="4"/>
    </row>
    <row r="14" spans="1:4" x14ac:dyDescent="0.35">
      <c r="A14" s="6" t="s">
        <v>20</v>
      </c>
      <c r="B14" s="7">
        <f>B8+B13</f>
        <v>33591</v>
      </c>
      <c r="C14" s="7">
        <f>C8+C13</f>
        <v>57724</v>
      </c>
      <c r="D14" s="6" t="s">
        <v>21</v>
      </c>
    </row>
    <row r="16" spans="1:4" x14ac:dyDescent="0.35">
      <c r="A16" s="4"/>
      <c r="B16" s="8"/>
      <c r="C16" s="8"/>
      <c r="D16" s="4"/>
    </row>
    <row r="17" spans="1:4" x14ac:dyDescent="0.35">
      <c r="A17" s="6"/>
      <c r="B17" s="9"/>
      <c r="C17" s="9"/>
      <c r="D17" s="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"/>
  <sheetViews>
    <sheetView showGridLines="0" zoomScaleNormal="100" workbookViewId="0"/>
  </sheetViews>
  <sheetFormatPr baseColWidth="10" defaultColWidth="8.6328125" defaultRowHeight="14.5" x14ac:dyDescent="0.35"/>
  <cols>
    <col min="1" max="1" width="42" customWidth="1"/>
    <col min="2" max="2" width="12" customWidth="1"/>
    <col min="3" max="3" width="62" customWidth="1"/>
  </cols>
  <sheetData>
    <row r="1" spans="1:3" ht="18" x14ac:dyDescent="0.4">
      <c r="A1" s="1" t="s">
        <v>22</v>
      </c>
    </row>
    <row r="2" spans="1:3" x14ac:dyDescent="0.35">
      <c r="A2" s="2" t="s">
        <v>23</v>
      </c>
    </row>
    <row r="4" spans="1:3" ht="21.75" customHeight="1" x14ac:dyDescent="0.35">
      <c r="A4" s="3" t="s">
        <v>24</v>
      </c>
      <c r="B4" s="3" t="s">
        <v>25</v>
      </c>
      <c r="C4" s="3" t="s">
        <v>26</v>
      </c>
    </row>
    <row r="5" spans="1:3" x14ac:dyDescent="0.35">
      <c r="A5" s="4" t="s">
        <v>27</v>
      </c>
      <c r="B5" s="10">
        <v>2</v>
      </c>
      <c r="C5" s="4" t="s">
        <v>28</v>
      </c>
    </row>
    <row r="6" spans="1:3" x14ac:dyDescent="0.35">
      <c r="A6" s="4" t="s">
        <v>29</v>
      </c>
      <c r="B6" s="10">
        <v>5</v>
      </c>
      <c r="C6" s="4" t="s">
        <v>30</v>
      </c>
    </row>
    <row r="7" spans="1:3" x14ac:dyDescent="0.35">
      <c r="A7" s="4" t="s">
        <v>31</v>
      </c>
      <c r="B7" s="10">
        <v>20</v>
      </c>
      <c r="C7" s="4" t="s">
        <v>32</v>
      </c>
    </row>
    <row r="8" spans="1:3" x14ac:dyDescent="0.35">
      <c r="A8" s="4" t="s">
        <v>33</v>
      </c>
      <c r="B8" s="10">
        <v>24</v>
      </c>
      <c r="C8" s="4" t="s">
        <v>32</v>
      </c>
    </row>
    <row r="9" spans="1:3" x14ac:dyDescent="0.35">
      <c r="A9" s="4" t="s">
        <v>34</v>
      </c>
      <c r="B9" s="10">
        <v>0</v>
      </c>
      <c r="C9" s="4" t="s">
        <v>35</v>
      </c>
    </row>
    <row r="10" spans="1:3" x14ac:dyDescent="0.35">
      <c r="A10" s="4" t="s">
        <v>36</v>
      </c>
      <c r="B10" s="11">
        <v>650</v>
      </c>
      <c r="C10" s="4" t="s">
        <v>37</v>
      </c>
    </row>
    <row r="11" spans="1:3" x14ac:dyDescent="0.35">
      <c r="A11" s="4" t="s">
        <v>38</v>
      </c>
      <c r="B11" s="11">
        <v>450</v>
      </c>
      <c r="C11" s="4" t="s">
        <v>37</v>
      </c>
    </row>
    <row r="12" spans="1:3" x14ac:dyDescent="0.35">
      <c r="A12" s="4" t="s">
        <v>39</v>
      </c>
      <c r="B12" s="10">
        <v>2</v>
      </c>
      <c r="C12" s="4" t="s">
        <v>40</v>
      </c>
    </row>
    <row r="13" spans="1:3" x14ac:dyDescent="0.35">
      <c r="A13" s="4" t="s">
        <v>41</v>
      </c>
      <c r="B13" s="10">
        <v>3</v>
      </c>
      <c r="C13" s="4" t="s">
        <v>42</v>
      </c>
    </row>
    <row r="14" spans="1:3" x14ac:dyDescent="0.35">
      <c r="A14" s="4" t="s">
        <v>10</v>
      </c>
      <c r="B14" s="12">
        <v>0.1</v>
      </c>
      <c r="C14" s="4" t="s">
        <v>43</v>
      </c>
    </row>
    <row r="15" spans="1:3" x14ac:dyDescent="0.35">
      <c r="A15" s="4" t="s">
        <v>44</v>
      </c>
      <c r="B15" s="10">
        <v>1</v>
      </c>
      <c r="C15" s="4" t="s">
        <v>45</v>
      </c>
    </row>
    <row r="18" spans="1:1" x14ac:dyDescent="0.35">
      <c r="A18" s="13" t="s">
        <v>46</v>
      </c>
    </row>
    <row r="19" spans="1:1" x14ac:dyDescent="0.35">
      <c r="A19" s="13" t="s">
        <v>47</v>
      </c>
    </row>
    <row r="20" spans="1:1" x14ac:dyDescent="0.35">
      <c r="A20" s="13" t="s">
        <v>48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3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baseColWidth="10" defaultColWidth="8.6328125" defaultRowHeight="14.5" x14ac:dyDescent="0.35"/>
  <cols>
    <col min="1" max="1" width="40" customWidth="1"/>
    <col min="2" max="2" width="16" customWidth="1"/>
    <col min="3" max="3" width="40" customWidth="1"/>
    <col min="4" max="4" width="6" customWidth="1"/>
    <col min="5" max="6" width="12" customWidth="1"/>
    <col min="7" max="8" width="14" customWidth="1"/>
    <col min="9" max="9" width="58" customWidth="1"/>
  </cols>
  <sheetData>
    <row r="1" spans="1:9" ht="18" x14ac:dyDescent="0.4">
      <c r="A1" s="1" t="s">
        <v>49</v>
      </c>
    </row>
    <row r="2" spans="1:9" x14ac:dyDescent="0.35">
      <c r="A2" s="2" t="s">
        <v>50</v>
      </c>
    </row>
    <row r="4" spans="1:9" ht="31.5" customHeight="1" x14ac:dyDescent="0.35">
      <c r="A4" s="3" t="s">
        <v>51</v>
      </c>
      <c r="B4" s="3" t="s">
        <v>52</v>
      </c>
      <c r="C4" s="3" t="s">
        <v>53</v>
      </c>
      <c r="D4" s="3" t="s">
        <v>54</v>
      </c>
      <c r="E4" s="3" t="s">
        <v>55</v>
      </c>
      <c r="F4" s="3" t="s">
        <v>56</v>
      </c>
      <c r="G4" s="3" t="s">
        <v>57</v>
      </c>
      <c r="H4" s="3" t="s">
        <v>58</v>
      </c>
      <c r="I4" s="3" t="s">
        <v>59</v>
      </c>
    </row>
    <row r="5" spans="1:9" ht="30" customHeight="1" x14ac:dyDescent="0.35">
      <c r="A5" s="4" t="s">
        <v>60</v>
      </c>
      <c r="B5" s="4" t="s">
        <v>61</v>
      </c>
      <c r="C5" s="4" t="s">
        <v>62</v>
      </c>
      <c r="D5" s="14">
        <v>1</v>
      </c>
      <c r="E5" s="15">
        <v>900</v>
      </c>
      <c r="F5" s="15">
        <v>900</v>
      </c>
      <c r="G5" s="5">
        <f t="shared" ref="G5:G22" si="0">D5*E5</f>
        <v>900</v>
      </c>
      <c r="H5" s="5">
        <f t="shared" ref="H5:H22" si="1">D5*F5</f>
        <v>900</v>
      </c>
      <c r="I5" s="4" t="s">
        <v>63</v>
      </c>
    </row>
    <row r="6" spans="1:9" ht="30" customHeight="1" x14ac:dyDescent="0.35">
      <c r="A6" s="4" t="s">
        <v>64</v>
      </c>
      <c r="B6" s="4" t="s">
        <v>65</v>
      </c>
      <c r="C6" s="4" t="s">
        <v>66</v>
      </c>
      <c r="D6" s="14">
        <v>1</v>
      </c>
      <c r="E6" s="15">
        <v>100</v>
      </c>
      <c r="F6" s="15">
        <v>100</v>
      </c>
      <c r="G6" s="5">
        <f t="shared" si="0"/>
        <v>100</v>
      </c>
      <c r="H6" s="5">
        <f t="shared" si="1"/>
        <v>100</v>
      </c>
      <c r="I6" s="4" t="s">
        <v>67</v>
      </c>
    </row>
    <row r="7" spans="1:9" ht="30" customHeight="1" x14ac:dyDescent="0.35">
      <c r="A7" s="4" t="s">
        <v>68</v>
      </c>
      <c r="B7" s="4" t="s">
        <v>69</v>
      </c>
      <c r="C7" s="4" t="s">
        <v>70</v>
      </c>
      <c r="D7" s="14">
        <v>1</v>
      </c>
      <c r="E7" s="15">
        <v>450</v>
      </c>
      <c r="F7" s="15">
        <v>450</v>
      </c>
      <c r="G7" s="5">
        <f t="shared" si="0"/>
        <v>450</v>
      </c>
      <c r="H7" s="5">
        <f t="shared" si="1"/>
        <v>450</v>
      </c>
      <c r="I7" s="4" t="s">
        <v>71</v>
      </c>
    </row>
    <row r="8" spans="1:9" ht="30" customHeight="1" x14ac:dyDescent="0.35">
      <c r="A8" s="4" t="s">
        <v>72</v>
      </c>
      <c r="B8" s="4" t="s">
        <v>73</v>
      </c>
      <c r="C8" s="4" t="s">
        <v>74</v>
      </c>
      <c r="D8" s="14">
        <v>6</v>
      </c>
      <c r="E8" s="15">
        <v>220</v>
      </c>
      <c r="F8" s="15">
        <v>220</v>
      </c>
      <c r="G8" s="5">
        <f t="shared" si="0"/>
        <v>1320</v>
      </c>
      <c r="H8" s="5">
        <f t="shared" si="1"/>
        <v>1320</v>
      </c>
      <c r="I8" s="4" t="s">
        <v>75</v>
      </c>
    </row>
    <row r="9" spans="1:9" ht="30" customHeight="1" x14ac:dyDescent="0.35">
      <c r="A9" s="4" t="s">
        <v>76</v>
      </c>
      <c r="B9" s="4" t="s">
        <v>69</v>
      </c>
      <c r="C9" s="4" t="s">
        <v>77</v>
      </c>
      <c r="D9" s="14">
        <v>1</v>
      </c>
      <c r="E9" s="15">
        <v>330</v>
      </c>
      <c r="F9" s="15">
        <v>330</v>
      </c>
      <c r="G9" s="5">
        <f t="shared" si="0"/>
        <v>330</v>
      </c>
      <c r="H9" s="5">
        <f t="shared" si="1"/>
        <v>330</v>
      </c>
      <c r="I9" s="4" t="s">
        <v>78</v>
      </c>
    </row>
    <row r="10" spans="1:9" ht="30" customHeight="1" x14ac:dyDescent="0.35">
      <c r="A10" s="4" t="s">
        <v>79</v>
      </c>
      <c r="B10" s="4" t="s">
        <v>69</v>
      </c>
      <c r="C10" s="4" t="s">
        <v>77</v>
      </c>
      <c r="D10" s="14">
        <v>1</v>
      </c>
      <c r="E10" s="15">
        <v>330</v>
      </c>
      <c r="F10" s="15">
        <v>330</v>
      </c>
      <c r="G10" s="5">
        <f t="shared" si="0"/>
        <v>330</v>
      </c>
      <c r="H10" s="5">
        <f t="shared" si="1"/>
        <v>330</v>
      </c>
      <c r="I10" s="4" t="s">
        <v>80</v>
      </c>
    </row>
    <row r="11" spans="1:9" ht="30" customHeight="1" x14ac:dyDescent="0.35">
      <c r="A11" s="4" t="s">
        <v>81</v>
      </c>
      <c r="B11" s="4" t="s">
        <v>69</v>
      </c>
      <c r="C11" s="4" t="s">
        <v>77</v>
      </c>
      <c r="D11" s="14">
        <v>1</v>
      </c>
      <c r="E11" s="15">
        <v>330</v>
      </c>
      <c r="F11" s="15">
        <v>330</v>
      </c>
      <c r="G11" s="5">
        <f t="shared" si="0"/>
        <v>330</v>
      </c>
      <c r="H11" s="5">
        <f t="shared" si="1"/>
        <v>330</v>
      </c>
      <c r="I11" s="4" t="s">
        <v>82</v>
      </c>
    </row>
    <row r="12" spans="1:9" ht="30" customHeight="1" x14ac:dyDescent="0.35">
      <c r="A12" s="4" t="s">
        <v>83</v>
      </c>
      <c r="B12" s="4" t="s">
        <v>69</v>
      </c>
      <c r="C12" s="4" t="s">
        <v>84</v>
      </c>
      <c r="D12" s="14">
        <v>1</v>
      </c>
      <c r="E12" s="15">
        <v>150</v>
      </c>
      <c r="F12" s="15">
        <v>150</v>
      </c>
      <c r="G12" s="5">
        <f t="shared" si="0"/>
        <v>150</v>
      </c>
      <c r="H12" s="5">
        <f t="shared" si="1"/>
        <v>150</v>
      </c>
      <c r="I12" s="4" t="s">
        <v>85</v>
      </c>
    </row>
    <row r="13" spans="1:9" ht="30" customHeight="1" x14ac:dyDescent="0.35">
      <c r="A13" s="4" t="s">
        <v>86</v>
      </c>
      <c r="B13" s="4" t="s">
        <v>69</v>
      </c>
      <c r="C13" s="4" t="s">
        <v>70</v>
      </c>
      <c r="D13" s="14">
        <v>1</v>
      </c>
      <c r="E13" s="15">
        <v>450</v>
      </c>
      <c r="F13" s="15">
        <v>450</v>
      </c>
      <c r="G13" s="5">
        <f t="shared" si="0"/>
        <v>450</v>
      </c>
      <c r="H13" s="5">
        <f t="shared" si="1"/>
        <v>450</v>
      </c>
      <c r="I13" s="4" t="s">
        <v>87</v>
      </c>
    </row>
    <row r="14" spans="1:9" ht="30" customHeight="1" x14ac:dyDescent="0.35">
      <c r="A14" s="4" t="s">
        <v>88</v>
      </c>
      <c r="B14" s="4" t="s">
        <v>89</v>
      </c>
      <c r="C14" s="4" t="s">
        <v>90</v>
      </c>
      <c r="D14" s="14">
        <v>2</v>
      </c>
      <c r="E14" s="15">
        <v>160</v>
      </c>
      <c r="F14" s="15">
        <v>160</v>
      </c>
      <c r="G14" s="5">
        <f t="shared" si="0"/>
        <v>320</v>
      </c>
      <c r="H14" s="5">
        <f t="shared" si="1"/>
        <v>320</v>
      </c>
      <c r="I14" s="4" t="s">
        <v>91</v>
      </c>
    </row>
    <row r="15" spans="1:9" ht="30" customHeight="1" x14ac:dyDescent="0.35">
      <c r="A15" s="4" t="s">
        <v>92</v>
      </c>
      <c r="B15" s="4" t="s">
        <v>89</v>
      </c>
      <c r="C15" s="4" t="s">
        <v>93</v>
      </c>
      <c r="D15" s="14">
        <v>1</v>
      </c>
      <c r="E15" s="15">
        <v>0</v>
      </c>
      <c r="F15" s="15">
        <v>130</v>
      </c>
      <c r="G15" s="5">
        <f t="shared" si="0"/>
        <v>0</v>
      </c>
      <c r="H15" s="5">
        <f t="shared" si="1"/>
        <v>130</v>
      </c>
      <c r="I15" s="4" t="s">
        <v>94</v>
      </c>
    </row>
    <row r="16" spans="1:9" ht="30" customHeight="1" x14ac:dyDescent="0.35">
      <c r="A16" s="4" t="s">
        <v>95</v>
      </c>
      <c r="B16" s="4" t="s">
        <v>96</v>
      </c>
      <c r="C16" s="4" t="s">
        <v>97</v>
      </c>
      <c r="D16" s="14">
        <v>1</v>
      </c>
      <c r="E16" s="15">
        <v>1200</v>
      </c>
      <c r="F16" s="15">
        <v>1200</v>
      </c>
      <c r="G16" s="5">
        <f t="shared" si="0"/>
        <v>1200</v>
      </c>
      <c r="H16" s="5">
        <f t="shared" si="1"/>
        <v>1200</v>
      </c>
      <c r="I16" s="4" t="s">
        <v>98</v>
      </c>
    </row>
    <row r="17" spans="1:9" ht="30" customHeight="1" x14ac:dyDescent="0.35">
      <c r="A17" s="4" t="s">
        <v>99</v>
      </c>
      <c r="B17" s="4" t="s">
        <v>96</v>
      </c>
      <c r="C17" s="4" t="s">
        <v>100</v>
      </c>
      <c r="D17" s="14">
        <v>1</v>
      </c>
      <c r="E17" s="15">
        <v>1000</v>
      </c>
      <c r="F17" s="15">
        <v>1000</v>
      </c>
      <c r="G17" s="5">
        <f t="shared" si="0"/>
        <v>1000</v>
      </c>
      <c r="H17" s="5">
        <f t="shared" si="1"/>
        <v>1000</v>
      </c>
      <c r="I17" s="4" t="s">
        <v>101</v>
      </c>
    </row>
    <row r="18" spans="1:9" ht="30" customHeight="1" x14ac:dyDescent="0.35">
      <c r="A18" s="4" t="s">
        <v>102</v>
      </c>
      <c r="B18" s="4" t="s">
        <v>103</v>
      </c>
      <c r="C18" s="4" t="s">
        <v>104</v>
      </c>
      <c r="D18" s="14">
        <v>1</v>
      </c>
      <c r="E18" s="15">
        <v>450</v>
      </c>
      <c r="F18" s="15">
        <v>450</v>
      </c>
      <c r="G18" s="5">
        <f t="shared" si="0"/>
        <v>450</v>
      </c>
      <c r="H18" s="5">
        <f t="shared" si="1"/>
        <v>450</v>
      </c>
      <c r="I18" s="4" t="s">
        <v>105</v>
      </c>
    </row>
    <row r="19" spans="1:9" ht="30" customHeight="1" x14ac:dyDescent="0.35">
      <c r="A19" s="4" t="s">
        <v>106</v>
      </c>
      <c r="B19" s="4" t="s">
        <v>96</v>
      </c>
      <c r="C19" s="4" t="s">
        <v>107</v>
      </c>
      <c r="D19" s="14">
        <v>1</v>
      </c>
      <c r="E19" s="15">
        <v>450</v>
      </c>
      <c r="F19" s="15">
        <v>450</v>
      </c>
      <c r="G19" s="5">
        <f t="shared" si="0"/>
        <v>450</v>
      </c>
      <c r="H19" s="5">
        <f t="shared" si="1"/>
        <v>450</v>
      </c>
      <c r="I19" s="4" t="s">
        <v>108</v>
      </c>
    </row>
    <row r="20" spans="1:9" ht="30" customHeight="1" x14ac:dyDescent="0.35">
      <c r="A20" s="4" t="s">
        <v>109</v>
      </c>
      <c r="B20" s="4" t="s">
        <v>110</v>
      </c>
      <c r="C20" s="4" t="s">
        <v>111</v>
      </c>
      <c r="D20" s="14">
        <v>2</v>
      </c>
      <c r="E20" s="15">
        <v>50</v>
      </c>
      <c r="F20" s="15">
        <v>50</v>
      </c>
      <c r="G20" s="5">
        <f t="shared" si="0"/>
        <v>100</v>
      </c>
      <c r="H20" s="5">
        <f t="shared" si="1"/>
        <v>100</v>
      </c>
      <c r="I20" s="4" t="s">
        <v>112</v>
      </c>
    </row>
    <row r="21" spans="1:9" ht="30" customHeight="1" x14ac:dyDescent="0.35">
      <c r="A21" s="4" t="s">
        <v>113</v>
      </c>
      <c r="B21" s="4" t="s">
        <v>114</v>
      </c>
      <c r="C21" s="4" t="s">
        <v>115</v>
      </c>
      <c r="D21" s="14">
        <v>1</v>
      </c>
      <c r="E21" s="15">
        <v>80</v>
      </c>
      <c r="F21" s="15">
        <v>80</v>
      </c>
      <c r="G21" s="5">
        <f t="shared" si="0"/>
        <v>80</v>
      </c>
      <c r="H21" s="5">
        <f t="shared" si="1"/>
        <v>80</v>
      </c>
      <c r="I21" s="4" t="s">
        <v>116</v>
      </c>
    </row>
    <row r="22" spans="1:9" ht="30" customHeight="1" x14ac:dyDescent="0.35">
      <c r="A22" s="4" t="s">
        <v>117</v>
      </c>
      <c r="B22" s="4" t="s">
        <v>96</v>
      </c>
      <c r="C22" s="4" t="s">
        <v>118</v>
      </c>
      <c r="D22" s="14">
        <v>2</v>
      </c>
      <c r="E22" s="15">
        <v>550</v>
      </c>
      <c r="F22" s="15">
        <v>550</v>
      </c>
      <c r="G22" s="5">
        <f t="shared" si="0"/>
        <v>1100</v>
      </c>
      <c r="H22" s="5">
        <f t="shared" si="1"/>
        <v>1100</v>
      </c>
      <c r="I22" s="4" t="s">
        <v>119</v>
      </c>
    </row>
    <row r="23" spans="1:9" x14ac:dyDescent="0.35">
      <c r="A23" s="6" t="s">
        <v>120</v>
      </c>
      <c r="B23" s="16"/>
      <c r="C23" s="16"/>
      <c r="D23" s="16"/>
      <c r="E23" s="16"/>
      <c r="F23" s="16"/>
      <c r="G23" s="7">
        <f>SUM(G5:G22)</f>
        <v>9060</v>
      </c>
      <c r="H23" s="7">
        <f>SUM(H5:H22)</f>
        <v>9190</v>
      </c>
      <c r="I2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2"/>
  <sheetViews>
    <sheetView showGridLines="0" zoomScaleNormal="100" workbookViewId="0"/>
  </sheetViews>
  <sheetFormatPr baseColWidth="10" defaultColWidth="8.6328125" defaultRowHeight="14.5" x14ac:dyDescent="0.35"/>
  <cols>
    <col min="1" max="1" width="28" customWidth="1"/>
    <col min="2" max="2" width="8" customWidth="1"/>
    <col min="3" max="4" width="18" customWidth="1"/>
    <col min="5" max="6" width="16" customWidth="1"/>
    <col min="7" max="7" width="70" customWidth="1"/>
  </cols>
  <sheetData>
    <row r="1" spans="1:7" ht="18" x14ac:dyDescent="0.4">
      <c r="A1" s="1" t="s">
        <v>121</v>
      </c>
    </row>
    <row r="2" spans="1:7" x14ac:dyDescent="0.35">
      <c r="A2" s="2" t="s">
        <v>122</v>
      </c>
    </row>
    <row r="4" spans="1:7" ht="45" customHeight="1" x14ac:dyDescent="0.35">
      <c r="A4" s="3" t="s">
        <v>123</v>
      </c>
      <c r="B4" s="3" t="s">
        <v>124</v>
      </c>
      <c r="C4" s="3" t="s">
        <v>125</v>
      </c>
      <c r="D4" s="3" t="s">
        <v>126</v>
      </c>
      <c r="E4" s="3" t="s">
        <v>127</v>
      </c>
      <c r="F4" s="3" t="s">
        <v>128</v>
      </c>
      <c r="G4" s="3" t="s">
        <v>129</v>
      </c>
    </row>
    <row r="5" spans="1:7" ht="42" customHeight="1" x14ac:dyDescent="0.35">
      <c r="A5" s="4" t="s">
        <v>130</v>
      </c>
      <c r="B5" s="4" t="s">
        <v>131</v>
      </c>
      <c r="C5" s="15">
        <v>300</v>
      </c>
      <c r="D5" s="15">
        <v>1700</v>
      </c>
      <c r="E5" s="15">
        <v>0</v>
      </c>
      <c r="F5" s="15">
        <v>3500</v>
      </c>
      <c r="G5" s="4" t="s">
        <v>132</v>
      </c>
    </row>
    <row r="6" spans="1:7" ht="42" customHeight="1" x14ac:dyDescent="0.35">
      <c r="A6" s="4" t="s">
        <v>133</v>
      </c>
      <c r="B6" s="4" t="s">
        <v>134</v>
      </c>
      <c r="C6" s="15">
        <v>40</v>
      </c>
      <c r="D6" s="15">
        <v>40</v>
      </c>
      <c r="E6" s="15">
        <v>0</v>
      </c>
      <c r="F6" s="15">
        <v>0</v>
      </c>
      <c r="G6" s="4" t="s">
        <v>135</v>
      </c>
    </row>
    <row r="7" spans="1:7" ht="42" customHeight="1" x14ac:dyDescent="0.35">
      <c r="A7" s="4" t="s">
        <v>136</v>
      </c>
      <c r="B7" s="4" t="s">
        <v>137</v>
      </c>
      <c r="C7" s="15">
        <v>20</v>
      </c>
      <c r="D7" s="15">
        <v>60</v>
      </c>
      <c r="E7" s="15">
        <v>0</v>
      </c>
      <c r="F7" s="15">
        <v>0</v>
      </c>
      <c r="G7" s="4" t="s">
        <v>138</v>
      </c>
    </row>
    <row r="8" spans="1:7" x14ac:dyDescent="0.35">
      <c r="A8" s="6" t="s">
        <v>139</v>
      </c>
      <c r="B8" s="16"/>
      <c r="C8" s="7">
        <f>SUM(C5:C7)</f>
        <v>360</v>
      </c>
      <c r="D8" s="7">
        <f>SUM(D5:D7)</f>
        <v>1800</v>
      </c>
      <c r="E8" s="7">
        <f>SUM(E5:E7)</f>
        <v>0</v>
      </c>
      <c r="F8" s="7">
        <f>SUM(F5:F7)</f>
        <v>3500</v>
      </c>
      <c r="G8" s="16"/>
    </row>
    <row r="10" spans="1:7" x14ac:dyDescent="0.35">
      <c r="A10" s="17" t="s">
        <v>140</v>
      </c>
      <c r="C10" s="5">
        <f>C8*12</f>
        <v>4320</v>
      </c>
      <c r="D10" s="5">
        <f>D8*12</f>
        <v>21600</v>
      </c>
    </row>
    <row r="12" spans="1:7" x14ac:dyDescent="0.35">
      <c r="A12" s="13" t="s">
        <v>141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4"/>
  <sheetViews>
    <sheetView showGridLines="0" zoomScaleNormal="100" workbookViewId="0"/>
  </sheetViews>
  <sheetFormatPr baseColWidth="10" defaultColWidth="8.6328125" defaultRowHeight="14.5" x14ac:dyDescent="0.35"/>
  <cols>
    <col min="1" max="1" width="42" customWidth="1"/>
    <col min="2" max="2" width="14" customWidth="1"/>
    <col min="3" max="4" width="9" customWidth="1"/>
    <col min="5" max="6" width="13" customWidth="1"/>
    <col min="7" max="8" width="15" customWidth="1"/>
    <col min="9" max="9" width="62" customWidth="1"/>
  </cols>
  <sheetData>
    <row r="1" spans="1:9" ht="18" x14ac:dyDescent="0.4">
      <c r="A1" s="1" t="s">
        <v>142</v>
      </c>
    </row>
    <row r="2" spans="1:9" x14ac:dyDescent="0.35">
      <c r="A2" s="2" t="s">
        <v>143</v>
      </c>
    </row>
    <row r="4" spans="1:9" ht="31.5" customHeight="1" x14ac:dyDescent="0.35">
      <c r="A4" s="3" t="s">
        <v>2</v>
      </c>
      <c r="B4" s="3" t="s">
        <v>144</v>
      </c>
      <c r="C4" s="3" t="s">
        <v>145</v>
      </c>
      <c r="D4" s="3" t="s">
        <v>146</v>
      </c>
      <c r="E4" s="3" t="s">
        <v>55</v>
      </c>
      <c r="F4" s="3" t="s">
        <v>56</v>
      </c>
      <c r="G4" s="3" t="s">
        <v>57</v>
      </c>
      <c r="H4" s="3" t="s">
        <v>58</v>
      </c>
      <c r="I4" s="3" t="s">
        <v>129</v>
      </c>
    </row>
    <row r="5" spans="1:9" ht="30" customHeight="1" x14ac:dyDescent="0.35">
      <c r="A5" s="4" t="s">
        <v>147</v>
      </c>
      <c r="B5" s="4" t="s">
        <v>148</v>
      </c>
      <c r="C5" s="14">
        <v>1</v>
      </c>
      <c r="D5" s="14">
        <v>1</v>
      </c>
      <c r="E5" s="15">
        <v>300</v>
      </c>
      <c r="F5" s="15">
        <v>300</v>
      </c>
      <c r="G5" s="5">
        <f t="shared" ref="G5:H11" si="0">C5*E5</f>
        <v>300</v>
      </c>
      <c r="H5" s="5">
        <f t="shared" si="0"/>
        <v>300</v>
      </c>
      <c r="I5" s="4" t="s">
        <v>149</v>
      </c>
    </row>
    <row r="6" spans="1:9" ht="30" customHeight="1" x14ac:dyDescent="0.35">
      <c r="A6" s="4" t="s">
        <v>150</v>
      </c>
      <c r="B6" s="4" t="s">
        <v>148</v>
      </c>
      <c r="C6" s="14">
        <v>1</v>
      </c>
      <c r="D6" s="14">
        <v>1</v>
      </c>
      <c r="E6" s="15">
        <v>400</v>
      </c>
      <c r="F6" s="15">
        <v>400</v>
      </c>
      <c r="G6" s="5">
        <f t="shared" si="0"/>
        <v>400</v>
      </c>
      <c r="H6" s="5">
        <f t="shared" si="0"/>
        <v>400</v>
      </c>
      <c r="I6" s="4" t="s">
        <v>151</v>
      </c>
    </row>
    <row r="7" spans="1:9" ht="30" customHeight="1" x14ac:dyDescent="0.35">
      <c r="A7" s="4" t="s">
        <v>152</v>
      </c>
      <c r="B7" s="4" t="s">
        <v>148</v>
      </c>
      <c r="C7" s="18">
        <f>Hypothèses!B15</f>
        <v>1</v>
      </c>
      <c r="D7" s="18">
        <f>Hypothèses!B15</f>
        <v>1</v>
      </c>
      <c r="E7" s="15">
        <v>1000</v>
      </c>
      <c r="F7" s="15">
        <v>1000</v>
      </c>
      <c r="G7" s="5">
        <f t="shared" si="0"/>
        <v>1000</v>
      </c>
      <c r="H7" s="5">
        <f t="shared" si="0"/>
        <v>1000</v>
      </c>
      <c r="I7" s="4" t="s">
        <v>153</v>
      </c>
    </row>
    <row r="8" spans="1:9" ht="30" customHeight="1" x14ac:dyDescent="0.35">
      <c r="A8" s="4" t="s">
        <v>39</v>
      </c>
      <c r="B8" s="4" t="s">
        <v>154</v>
      </c>
      <c r="C8" s="18">
        <f>Hypothèses!B12</f>
        <v>2</v>
      </c>
      <c r="D8" s="18">
        <f>Hypothèses!B12</f>
        <v>2</v>
      </c>
      <c r="E8" s="19">
        <f>Hypothèses!B11</f>
        <v>450</v>
      </c>
      <c r="F8" s="19">
        <f>Hypothèses!B11</f>
        <v>450</v>
      </c>
      <c r="G8" s="5">
        <f t="shared" si="0"/>
        <v>900</v>
      </c>
      <c r="H8" s="5">
        <f t="shared" si="0"/>
        <v>900</v>
      </c>
      <c r="I8" s="4" t="s">
        <v>155</v>
      </c>
    </row>
    <row r="9" spans="1:9" ht="30" customHeight="1" x14ac:dyDescent="0.35">
      <c r="A9" s="4" t="s">
        <v>156</v>
      </c>
      <c r="B9" s="4" t="s">
        <v>154</v>
      </c>
      <c r="C9" s="18">
        <f>Hypothèses!B7</f>
        <v>20</v>
      </c>
      <c r="D9" s="18">
        <f>Hypothèses!B8</f>
        <v>24</v>
      </c>
      <c r="E9" s="19">
        <f>Hypothèses!B10</f>
        <v>650</v>
      </c>
      <c r="F9" s="19">
        <f>Hypothèses!B10</f>
        <v>650</v>
      </c>
      <c r="G9" s="5">
        <f t="shared" si="0"/>
        <v>13000</v>
      </c>
      <c r="H9" s="5">
        <f t="shared" si="0"/>
        <v>15600</v>
      </c>
      <c r="I9" s="4" t="s">
        <v>157</v>
      </c>
    </row>
    <row r="10" spans="1:9" ht="30" customHeight="1" x14ac:dyDescent="0.35">
      <c r="A10" s="4" t="s">
        <v>41</v>
      </c>
      <c r="B10" s="4" t="s">
        <v>154</v>
      </c>
      <c r="C10" s="18">
        <f>Hypothèses!B13</f>
        <v>3</v>
      </c>
      <c r="D10" s="18">
        <f>Hypothèses!B13</f>
        <v>3</v>
      </c>
      <c r="E10" s="19">
        <f>Hypothèses!B10</f>
        <v>650</v>
      </c>
      <c r="F10" s="19">
        <f>Hypothèses!B10</f>
        <v>650</v>
      </c>
      <c r="G10" s="5">
        <f t="shared" si="0"/>
        <v>1950</v>
      </c>
      <c r="H10" s="5">
        <f t="shared" si="0"/>
        <v>1950</v>
      </c>
      <c r="I10" s="4" t="s">
        <v>158</v>
      </c>
    </row>
    <row r="11" spans="1:9" ht="30" customHeight="1" x14ac:dyDescent="0.35">
      <c r="A11" s="4" t="s">
        <v>159</v>
      </c>
      <c r="B11" s="4" t="s">
        <v>160</v>
      </c>
      <c r="C11" s="14">
        <v>1</v>
      </c>
      <c r="D11" s="14">
        <v>1</v>
      </c>
      <c r="E11" s="19">
        <f>Abonnements!E8</f>
        <v>0</v>
      </c>
      <c r="F11" s="19">
        <f>Abonnements!F8</f>
        <v>3500</v>
      </c>
      <c r="G11" s="5">
        <f t="shared" si="0"/>
        <v>0</v>
      </c>
      <c r="H11" s="5">
        <f t="shared" si="0"/>
        <v>3500</v>
      </c>
      <c r="I11" s="4" t="s">
        <v>161</v>
      </c>
    </row>
    <row r="12" spans="1:9" x14ac:dyDescent="0.35">
      <c r="A12" s="6" t="s">
        <v>162</v>
      </c>
      <c r="B12" s="16"/>
      <c r="C12" s="16"/>
      <c r="D12" s="16"/>
      <c r="E12" s="16"/>
      <c r="F12" s="16"/>
      <c r="G12" s="7">
        <f>SUM(G5:G11)</f>
        <v>17550</v>
      </c>
      <c r="H12" s="7">
        <f>SUM(H5:H11)</f>
        <v>23650</v>
      </c>
      <c r="I12" s="16"/>
    </row>
    <row r="14" spans="1:9" x14ac:dyDescent="0.35">
      <c r="A14" s="4" t="s">
        <v>163</v>
      </c>
      <c r="G14" s="5">
        <f>SUM(G8:G10)</f>
        <v>15850</v>
      </c>
      <c r="H14" s="5">
        <f>SUM(H8:H10)</f>
        <v>18450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2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.6328125" defaultRowHeight="14.5" x14ac:dyDescent="0.35"/>
  <cols>
    <col min="1" max="1" width="5" customWidth="1"/>
    <col min="2" max="2" width="50" customWidth="1"/>
    <col min="3" max="10" width="11" customWidth="1"/>
    <col min="11" max="11" width="46" customWidth="1"/>
    <col min="12" max="12" width="2" customWidth="1"/>
    <col min="13" max="13" width="3" customWidth="1"/>
    <col min="14" max="26" width="4.453125" customWidth="1"/>
  </cols>
  <sheetData>
    <row r="1" spans="1:26" ht="18" x14ac:dyDescent="0.4">
      <c r="A1" s="1" t="s">
        <v>164</v>
      </c>
    </row>
    <row r="2" spans="1:26" x14ac:dyDescent="0.35">
      <c r="A2" s="2" t="s">
        <v>165</v>
      </c>
    </row>
    <row r="4" spans="1:26" ht="31.5" customHeight="1" x14ac:dyDescent="0.35">
      <c r="A4" s="3" t="s">
        <v>166</v>
      </c>
      <c r="B4" s="3" t="s">
        <v>167</v>
      </c>
      <c r="C4" s="3" t="s">
        <v>168</v>
      </c>
      <c r="D4" s="3" t="s">
        <v>169</v>
      </c>
      <c r="E4" s="3" t="s">
        <v>170</v>
      </c>
      <c r="F4" s="3" t="s">
        <v>171</v>
      </c>
      <c r="G4" s="3" t="s">
        <v>172</v>
      </c>
      <c r="H4" s="3" t="s">
        <v>173</v>
      </c>
      <c r="I4" s="3" t="s">
        <v>174</v>
      </c>
      <c r="J4" s="3" t="s">
        <v>175</v>
      </c>
      <c r="K4" s="3" t="s">
        <v>129</v>
      </c>
      <c r="N4" s="3" t="s">
        <v>176</v>
      </c>
      <c r="O4" s="3" t="s">
        <v>177</v>
      </c>
      <c r="P4" s="3" t="s">
        <v>178</v>
      </c>
      <c r="Q4" s="3" t="s">
        <v>179</v>
      </c>
      <c r="R4" s="3" t="s">
        <v>180</v>
      </c>
      <c r="S4" s="3" t="s">
        <v>181</v>
      </c>
      <c r="T4" s="3" t="s">
        <v>182</v>
      </c>
      <c r="U4" s="3" t="s">
        <v>183</v>
      </c>
      <c r="V4" s="3" t="s">
        <v>184</v>
      </c>
      <c r="W4" s="3" t="s">
        <v>185</v>
      </c>
      <c r="X4" s="3" t="s">
        <v>186</v>
      </c>
      <c r="Y4" s="3" t="s">
        <v>187</v>
      </c>
      <c r="Z4" s="3" t="s">
        <v>188</v>
      </c>
    </row>
    <row r="5" spans="1:26" ht="30" customHeight="1" x14ac:dyDescent="0.35">
      <c r="A5" s="20">
        <v>1</v>
      </c>
      <c r="B5" s="4" t="s">
        <v>189</v>
      </c>
      <c r="C5" s="21">
        <v>5</v>
      </c>
      <c r="D5" s="21">
        <v>10</v>
      </c>
      <c r="E5" s="8">
        <f>0</f>
        <v>0</v>
      </c>
      <c r="F5" s="8">
        <f t="shared" ref="F5:F11" si="0">E5+C5</f>
        <v>5</v>
      </c>
      <c r="G5" s="8">
        <f>0</f>
        <v>0</v>
      </c>
      <c r="H5" s="8">
        <f t="shared" ref="H5:H11" si="1">G5+D5</f>
        <v>10</v>
      </c>
      <c r="I5" s="8">
        <f>F5/Hypothèses!$B$6</f>
        <v>1</v>
      </c>
      <c r="J5" s="8">
        <f>H5/Hypothèses!$B$6</f>
        <v>2</v>
      </c>
      <c r="K5" s="4" t="s">
        <v>190</v>
      </c>
      <c r="N5" s="22">
        <f>IF(AND(1*Hypothèses!$B$6&gt;G5,(1-1)*Hypothèses!$B$6&lt;H5),1,0)</f>
        <v>1</v>
      </c>
      <c r="O5" s="22">
        <f>IF(AND(2*Hypothèses!$B$6&gt;G5,(2-1)*Hypothèses!$B$6&lt;H5),1,0)</f>
        <v>1</v>
      </c>
      <c r="P5" s="22">
        <f>IF(AND(3*Hypothèses!$B$6&gt;G5,(3-1)*Hypothèses!$B$6&lt;H5),1,0)</f>
        <v>0</v>
      </c>
      <c r="Q5" s="22">
        <f>IF(AND(4*Hypothèses!$B$6&gt;G5,(4-1)*Hypothèses!$B$6&lt;H5),1,0)</f>
        <v>0</v>
      </c>
      <c r="R5" s="22">
        <f>IF(AND(5*Hypothèses!$B$6&gt;G5,(5-1)*Hypothèses!$B$6&lt;H5),1,0)</f>
        <v>0</v>
      </c>
      <c r="S5" s="22">
        <f>IF(AND(6*Hypothèses!$B$6&gt;G5,(6-1)*Hypothèses!$B$6&lt;H5),1,0)</f>
        <v>0</v>
      </c>
      <c r="T5" s="22">
        <f>IF(AND(7*Hypothèses!$B$6&gt;G5,(7-1)*Hypothèses!$B$6&lt;H5),1,0)</f>
        <v>0</v>
      </c>
      <c r="U5" s="22">
        <f>IF(AND(8*Hypothèses!$B$6&gt;G5,(8-1)*Hypothèses!$B$6&lt;H5),1,0)</f>
        <v>0</v>
      </c>
      <c r="V5" s="22">
        <f>IF(AND(9*Hypothèses!$B$6&gt;G5,(9-1)*Hypothèses!$B$6&lt;H5),1,0)</f>
        <v>0</v>
      </c>
      <c r="W5" s="22">
        <f>IF(AND(10*Hypothèses!$B$6&gt;G5,(10-1)*Hypothèses!$B$6&lt;H5),1,0)</f>
        <v>0</v>
      </c>
      <c r="X5" s="22">
        <f>IF(AND(11*Hypothèses!$B$6&gt;G5,(11-1)*Hypothèses!$B$6&lt;H5),1,0)</f>
        <v>0</v>
      </c>
      <c r="Y5" s="22">
        <f>IF(AND(12*Hypothèses!$B$6&gt;G5,(12-1)*Hypothèses!$B$6&lt;H5),1,0)</f>
        <v>0</v>
      </c>
      <c r="Z5" s="22">
        <f>IF(AND(13*Hypothèses!$B$6&gt;G5,(13-1)*Hypothèses!$B$6&lt;H5),1,0)</f>
        <v>0</v>
      </c>
    </row>
    <row r="6" spans="1:26" ht="30" customHeight="1" x14ac:dyDescent="0.35">
      <c r="A6" s="20">
        <v>2</v>
      </c>
      <c r="B6" s="4" t="s">
        <v>191</v>
      </c>
      <c r="C6" s="21">
        <v>5</v>
      </c>
      <c r="D6" s="21">
        <v>15</v>
      </c>
      <c r="E6" s="8">
        <f>F5</f>
        <v>5</v>
      </c>
      <c r="F6" s="8">
        <f t="shared" si="0"/>
        <v>10</v>
      </c>
      <c r="G6" s="8">
        <f>H5</f>
        <v>10</v>
      </c>
      <c r="H6" s="8">
        <f t="shared" si="1"/>
        <v>25</v>
      </c>
      <c r="I6" s="8">
        <f>F6/Hypothèses!$B$6</f>
        <v>2</v>
      </c>
      <c r="J6" s="8">
        <f>H6/Hypothèses!$B$6</f>
        <v>5</v>
      </c>
      <c r="K6" s="4" t="s">
        <v>192</v>
      </c>
      <c r="N6" s="22">
        <f>IF(AND(1*Hypothèses!$B$6&gt;G6,(1-1)*Hypothèses!$B$6&lt;H6),1,0)</f>
        <v>0</v>
      </c>
      <c r="O6" s="22">
        <f>IF(AND(2*Hypothèses!$B$6&gt;G6,(2-1)*Hypothèses!$B$6&lt;H6),1,0)</f>
        <v>0</v>
      </c>
      <c r="P6" s="22">
        <f>IF(AND(3*Hypothèses!$B$6&gt;G6,(3-1)*Hypothèses!$B$6&lt;H6),1,0)</f>
        <v>1</v>
      </c>
      <c r="Q6" s="22">
        <f>IF(AND(4*Hypothèses!$B$6&gt;G6,(4-1)*Hypothèses!$B$6&lt;H6),1,0)</f>
        <v>1</v>
      </c>
      <c r="R6" s="22">
        <f>IF(AND(5*Hypothèses!$B$6&gt;G6,(5-1)*Hypothèses!$B$6&lt;H6),1,0)</f>
        <v>1</v>
      </c>
      <c r="S6" s="22">
        <f>IF(AND(6*Hypothèses!$B$6&gt;G6,(6-1)*Hypothèses!$B$6&lt;H6),1,0)</f>
        <v>0</v>
      </c>
      <c r="T6" s="22">
        <f>IF(AND(7*Hypothèses!$B$6&gt;G6,(7-1)*Hypothèses!$B$6&lt;H6),1,0)</f>
        <v>0</v>
      </c>
      <c r="U6" s="22">
        <f>IF(AND(8*Hypothèses!$B$6&gt;G6,(8-1)*Hypothèses!$B$6&lt;H6),1,0)</f>
        <v>0</v>
      </c>
      <c r="V6" s="22">
        <f>IF(AND(9*Hypothèses!$B$6&gt;G6,(9-1)*Hypothèses!$B$6&lt;H6),1,0)</f>
        <v>0</v>
      </c>
      <c r="W6" s="22">
        <f>IF(AND(10*Hypothèses!$B$6&gt;G6,(10-1)*Hypothèses!$B$6&lt;H6),1,0)</f>
        <v>0</v>
      </c>
      <c r="X6" s="22">
        <f>IF(AND(11*Hypothèses!$B$6&gt;G6,(11-1)*Hypothèses!$B$6&lt;H6),1,0)</f>
        <v>0</v>
      </c>
      <c r="Y6" s="22">
        <f>IF(AND(12*Hypothèses!$B$6&gt;G6,(12-1)*Hypothèses!$B$6&lt;H6),1,0)</f>
        <v>0</v>
      </c>
      <c r="Z6" s="22">
        <f>IF(AND(13*Hypothèses!$B$6&gt;G6,(13-1)*Hypothèses!$B$6&lt;H6),1,0)</f>
        <v>0</v>
      </c>
    </row>
    <row r="7" spans="1:26" ht="30" customHeight="1" x14ac:dyDescent="0.35">
      <c r="A7" s="20">
        <v>3</v>
      </c>
      <c r="B7" s="4" t="s">
        <v>193</v>
      </c>
      <c r="C7" s="21">
        <v>10</v>
      </c>
      <c r="D7" s="21">
        <v>60</v>
      </c>
      <c r="E7" s="8">
        <f>Hypothèses!B9</f>
        <v>0</v>
      </c>
      <c r="F7" s="8">
        <f t="shared" si="0"/>
        <v>10</v>
      </c>
      <c r="G7" s="8">
        <f>Hypothèses!B9</f>
        <v>0</v>
      </c>
      <c r="H7" s="8">
        <f t="shared" si="1"/>
        <v>60</v>
      </c>
      <c r="I7" s="8">
        <f>F7/Hypothèses!$B$6</f>
        <v>2</v>
      </c>
      <c r="J7" s="8">
        <f>H7/Hypothèses!$B$6</f>
        <v>12</v>
      </c>
      <c r="K7" s="4" t="s">
        <v>194</v>
      </c>
      <c r="N7" s="22">
        <f>IF(AND(1*Hypothèses!$B$6&gt;G7,(1-1)*Hypothèses!$B$6&lt;H7),1,0)</f>
        <v>1</v>
      </c>
      <c r="O7" s="22">
        <f>IF(AND(2*Hypothèses!$B$6&gt;G7,(2-1)*Hypothèses!$B$6&lt;H7),1,0)</f>
        <v>1</v>
      </c>
      <c r="P7" s="22">
        <f>IF(AND(3*Hypothèses!$B$6&gt;G7,(3-1)*Hypothèses!$B$6&lt;H7),1,0)</f>
        <v>1</v>
      </c>
      <c r="Q7" s="22">
        <f>IF(AND(4*Hypothèses!$B$6&gt;G7,(4-1)*Hypothèses!$B$6&lt;H7),1,0)</f>
        <v>1</v>
      </c>
      <c r="R7" s="22">
        <f>IF(AND(5*Hypothèses!$B$6&gt;G7,(5-1)*Hypothèses!$B$6&lt;H7),1,0)</f>
        <v>1</v>
      </c>
      <c r="S7" s="22">
        <f>IF(AND(6*Hypothèses!$B$6&gt;G7,(6-1)*Hypothèses!$B$6&lt;H7),1,0)</f>
        <v>1</v>
      </c>
      <c r="T7" s="22">
        <f>IF(AND(7*Hypothèses!$B$6&gt;G7,(7-1)*Hypothèses!$B$6&lt;H7),1,0)</f>
        <v>1</v>
      </c>
      <c r="U7" s="22">
        <f>IF(AND(8*Hypothèses!$B$6&gt;G7,(8-1)*Hypothèses!$B$6&lt;H7),1,0)</f>
        <v>1</v>
      </c>
      <c r="V7" s="22">
        <f>IF(AND(9*Hypothèses!$B$6&gt;G7,(9-1)*Hypothèses!$B$6&lt;H7),1,0)</f>
        <v>1</v>
      </c>
      <c r="W7" s="22">
        <f>IF(AND(10*Hypothèses!$B$6&gt;G7,(10-1)*Hypothèses!$B$6&lt;H7),1,0)</f>
        <v>1</v>
      </c>
      <c r="X7" s="22">
        <f>IF(AND(11*Hypothèses!$B$6&gt;G7,(11-1)*Hypothèses!$B$6&lt;H7),1,0)</f>
        <v>1</v>
      </c>
      <c r="Y7" s="22">
        <f>IF(AND(12*Hypothèses!$B$6&gt;G7,(12-1)*Hypothèses!$B$6&lt;H7),1,0)</f>
        <v>1</v>
      </c>
      <c r="Z7" s="22">
        <f>IF(AND(13*Hypothèses!$B$6&gt;G7,(13-1)*Hypothèses!$B$6&lt;H7),1,0)</f>
        <v>0</v>
      </c>
    </row>
    <row r="8" spans="1:26" ht="30" customHeight="1" x14ac:dyDescent="0.35">
      <c r="A8" s="20">
        <v>4</v>
      </c>
      <c r="B8" s="4" t="s">
        <v>195</v>
      </c>
      <c r="C8" s="8">
        <f>Hypothèses!B12</f>
        <v>2</v>
      </c>
      <c r="D8" s="8">
        <f>Hypothèses!B12</f>
        <v>2</v>
      </c>
      <c r="E8" s="8">
        <f>F6</f>
        <v>10</v>
      </c>
      <c r="F8" s="8">
        <f t="shared" si="0"/>
        <v>12</v>
      </c>
      <c r="G8" s="8">
        <f>H6</f>
        <v>25</v>
      </c>
      <c r="H8" s="8">
        <f t="shared" si="1"/>
        <v>27</v>
      </c>
      <c r="I8" s="8">
        <f>F8/Hypothèses!$B$6</f>
        <v>2.4</v>
      </c>
      <c r="J8" s="8">
        <f>H8/Hypothèses!$B$6</f>
        <v>5.4</v>
      </c>
      <c r="K8" s="4" t="s">
        <v>196</v>
      </c>
      <c r="N8" s="22">
        <f>IF(AND(1*Hypothèses!$B$6&gt;G8,(1-1)*Hypothèses!$B$6&lt;H8),1,0)</f>
        <v>0</v>
      </c>
      <c r="O8" s="22">
        <f>IF(AND(2*Hypothèses!$B$6&gt;G8,(2-1)*Hypothèses!$B$6&lt;H8),1,0)</f>
        <v>0</v>
      </c>
      <c r="P8" s="22">
        <f>IF(AND(3*Hypothèses!$B$6&gt;G8,(3-1)*Hypothèses!$B$6&lt;H8),1,0)</f>
        <v>0</v>
      </c>
      <c r="Q8" s="22">
        <f>IF(AND(4*Hypothèses!$B$6&gt;G8,(4-1)*Hypothèses!$B$6&lt;H8),1,0)</f>
        <v>0</v>
      </c>
      <c r="R8" s="22">
        <f>IF(AND(5*Hypothèses!$B$6&gt;G8,(5-1)*Hypothèses!$B$6&lt;H8),1,0)</f>
        <v>0</v>
      </c>
      <c r="S8" s="22">
        <f>IF(AND(6*Hypothèses!$B$6&gt;G8,(6-1)*Hypothèses!$B$6&lt;H8),1,0)</f>
        <v>1</v>
      </c>
      <c r="T8" s="22">
        <f>IF(AND(7*Hypothèses!$B$6&gt;G8,(7-1)*Hypothèses!$B$6&lt;H8),1,0)</f>
        <v>0</v>
      </c>
      <c r="U8" s="22">
        <f>IF(AND(8*Hypothèses!$B$6&gt;G8,(8-1)*Hypothèses!$B$6&lt;H8),1,0)</f>
        <v>0</v>
      </c>
      <c r="V8" s="22">
        <f>IF(AND(9*Hypothèses!$B$6&gt;G8,(9-1)*Hypothèses!$B$6&lt;H8),1,0)</f>
        <v>0</v>
      </c>
      <c r="W8" s="22">
        <f>IF(AND(10*Hypothèses!$B$6&gt;G8,(10-1)*Hypothèses!$B$6&lt;H8),1,0)</f>
        <v>0</v>
      </c>
      <c r="X8" s="22">
        <f>IF(AND(11*Hypothèses!$B$6&gt;G8,(11-1)*Hypothèses!$B$6&lt;H8),1,0)</f>
        <v>0</v>
      </c>
      <c r="Y8" s="22">
        <f>IF(AND(12*Hypothèses!$B$6&gt;G8,(12-1)*Hypothèses!$B$6&lt;H8),1,0)</f>
        <v>0</v>
      </c>
      <c r="Z8" s="22">
        <f>IF(AND(13*Hypothèses!$B$6&gt;G8,(13-1)*Hypothèses!$B$6&lt;H8),1,0)</f>
        <v>0</v>
      </c>
    </row>
    <row r="9" spans="1:26" ht="30" customHeight="1" x14ac:dyDescent="0.35">
      <c r="A9" s="20">
        <v>5</v>
      </c>
      <c r="B9" s="4" t="s">
        <v>197</v>
      </c>
      <c r="C9" s="8">
        <f>Hypothèses!B7/Hypothèses!B5</f>
        <v>10</v>
      </c>
      <c r="D9" s="8">
        <f>Hypothèses!B8/Hypothèses!B5</f>
        <v>12</v>
      </c>
      <c r="E9" s="8">
        <f>F8</f>
        <v>12</v>
      </c>
      <c r="F9" s="8">
        <f t="shared" si="0"/>
        <v>22</v>
      </c>
      <c r="G9" s="8">
        <f>H8</f>
        <v>27</v>
      </c>
      <c r="H9" s="8">
        <f t="shared" si="1"/>
        <v>39</v>
      </c>
      <c r="I9" s="8">
        <f>F9/Hypothèses!$B$6</f>
        <v>4.4000000000000004</v>
      </c>
      <c r="J9" s="8">
        <f>H9/Hypothèses!$B$6</f>
        <v>7.8</v>
      </c>
      <c r="K9" s="4" t="s">
        <v>198</v>
      </c>
      <c r="N9" s="22">
        <f>IF(AND(1*Hypothèses!$B$6&gt;G9,(1-1)*Hypothèses!$B$6&lt;H9),1,0)</f>
        <v>0</v>
      </c>
      <c r="O9" s="22">
        <f>IF(AND(2*Hypothèses!$B$6&gt;G9,(2-1)*Hypothèses!$B$6&lt;H9),1,0)</f>
        <v>0</v>
      </c>
      <c r="P9" s="22">
        <f>IF(AND(3*Hypothèses!$B$6&gt;G9,(3-1)*Hypothèses!$B$6&lt;H9),1,0)</f>
        <v>0</v>
      </c>
      <c r="Q9" s="22">
        <f>IF(AND(4*Hypothèses!$B$6&gt;G9,(4-1)*Hypothèses!$B$6&lt;H9),1,0)</f>
        <v>0</v>
      </c>
      <c r="R9" s="22">
        <f>IF(AND(5*Hypothèses!$B$6&gt;G9,(5-1)*Hypothèses!$B$6&lt;H9),1,0)</f>
        <v>0</v>
      </c>
      <c r="S9" s="22">
        <f>IF(AND(6*Hypothèses!$B$6&gt;G9,(6-1)*Hypothèses!$B$6&lt;H9),1,0)</f>
        <v>1</v>
      </c>
      <c r="T9" s="22">
        <f>IF(AND(7*Hypothèses!$B$6&gt;G9,(7-1)*Hypothèses!$B$6&lt;H9),1,0)</f>
        <v>1</v>
      </c>
      <c r="U9" s="22">
        <f>IF(AND(8*Hypothèses!$B$6&gt;G9,(8-1)*Hypothèses!$B$6&lt;H9),1,0)</f>
        <v>1</v>
      </c>
      <c r="V9" s="22">
        <f>IF(AND(9*Hypothèses!$B$6&gt;G9,(9-1)*Hypothèses!$B$6&lt;H9),1,0)</f>
        <v>0</v>
      </c>
      <c r="W9" s="22">
        <f>IF(AND(10*Hypothèses!$B$6&gt;G9,(10-1)*Hypothèses!$B$6&lt;H9),1,0)</f>
        <v>0</v>
      </c>
      <c r="X9" s="22">
        <f>IF(AND(11*Hypothèses!$B$6&gt;G9,(11-1)*Hypothèses!$B$6&lt;H9),1,0)</f>
        <v>0</v>
      </c>
      <c r="Y9" s="22">
        <f>IF(AND(12*Hypothèses!$B$6&gt;G9,(12-1)*Hypothèses!$B$6&lt;H9),1,0)</f>
        <v>0</v>
      </c>
      <c r="Z9" s="22">
        <f>IF(AND(13*Hypothèses!$B$6&gt;G9,(13-1)*Hypothèses!$B$6&lt;H9),1,0)</f>
        <v>0</v>
      </c>
    </row>
    <row r="10" spans="1:26" ht="30" customHeight="1" x14ac:dyDescent="0.35">
      <c r="A10" s="20">
        <v>6</v>
      </c>
      <c r="B10" s="4" t="s">
        <v>199</v>
      </c>
      <c r="C10" s="21">
        <v>3</v>
      </c>
      <c r="D10" s="21">
        <v>5</v>
      </c>
      <c r="E10" s="8">
        <f>F9</f>
        <v>22</v>
      </c>
      <c r="F10" s="8">
        <f t="shared" si="0"/>
        <v>25</v>
      </c>
      <c r="G10" s="8">
        <f>H9</f>
        <v>39</v>
      </c>
      <c r="H10" s="8">
        <f t="shared" si="1"/>
        <v>44</v>
      </c>
      <c r="I10" s="8">
        <f>F10/Hypothèses!$B$6</f>
        <v>5</v>
      </c>
      <c r="J10" s="8">
        <f>H10/Hypothèses!$B$6</f>
        <v>8.8000000000000007</v>
      </c>
      <c r="K10" s="4" t="s">
        <v>200</v>
      </c>
      <c r="N10" s="22">
        <f>IF(AND(1*Hypothèses!$B$6&gt;G10,(1-1)*Hypothèses!$B$6&lt;H10),1,0)</f>
        <v>0</v>
      </c>
      <c r="O10" s="22">
        <f>IF(AND(2*Hypothèses!$B$6&gt;G10,(2-1)*Hypothèses!$B$6&lt;H10),1,0)</f>
        <v>0</v>
      </c>
      <c r="P10" s="22">
        <f>IF(AND(3*Hypothèses!$B$6&gt;G10,(3-1)*Hypothèses!$B$6&lt;H10),1,0)</f>
        <v>0</v>
      </c>
      <c r="Q10" s="22">
        <f>IF(AND(4*Hypothèses!$B$6&gt;G10,(4-1)*Hypothèses!$B$6&lt;H10),1,0)</f>
        <v>0</v>
      </c>
      <c r="R10" s="22">
        <f>IF(AND(5*Hypothèses!$B$6&gt;G10,(5-1)*Hypothèses!$B$6&lt;H10),1,0)</f>
        <v>0</v>
      </c>
      <c r="S10" s="22">
        <f>IF(AND(6*Hypothèses!$B$6&gt;G10,(6-1)*Hypothèses!$B$6&lt;H10),1,0)</f>
        <v>0</v>
      </c>
      <c r="T10" s="22">
        <f>IF(AND(7*Hypothèses!$B$6&gt;G10,(7-1)*Hypothèses!$B$6&lt;H10),1,0)</f>
        <v>0</v>
      </c>
      <c r="U10" s="22">
        <f>IF(AND(8*Hypothèses!$B$6&gt;G10,(8-1)*Hypothèses!$B$6&lt;H10),1,0)</f>
        <v>1</v>
      </c>
      <c r="V10" s="22">
        <f>IF(AND(9*Hypothèses!$B$6&gt;G10,(9-1)*Hypothèses!$B$6&lt;H10),1,0)</f>
        <v>1</v>
      </c>
      <c r="W10" s="22">
        <f>IF(AND(10*Hypothèses!$B$6&gt;G10,(10-1)*Hypothèses!$B$6&lt;H10),1,0)</f>
        <v>0</v>
      </c>
      <c r="X10" s="22">
        <f>IF(AND(11*Hypothèses!$B$6&gt;G10,(11-1)*Hypothèses!$B$6&lt;H10),1,0)</f>
        <v>0</v>
      </c>
      <c r="Y10" s="22">
        <f>IF(AND(12*Hypothèses!$B$6&gt;G10,(12-1)*Hypothèses!$B$6&lt;H10),1,0)</f>
        <v>0</v>
      </c>
      <c r="Z10" s="22">
        <f>IF(AND(13*Hypothèses!$B$6&gt;G10,(13-1)*Hypothèses!$B$6&lt;H10),1,0)</f>
        <v>0</v>
      </c>
    </row>
    <row r="11" spans="1:26" ht="30" customHeight="1" x14ac:dyDescent="0.35">
      <c r="A11" s="20">
        <v>7</v>
      </c>
      <c r="B11" s="4" t="s">
        <v>201</v>
      </c>
      <c r="C11" s="21">
        <v>1</v>
      </c>
      <c r="D11" s="21">
        <v>2</v>
      </c>
      <c r="E11" s="8">
        <f>F10</f>
        <v>25</v>
      </c>
      <c r="F11" s="8">
        <f t="shared" si="0"/>
        <v>26</v>
      </c>
      <c r="G11" s="8">
        <f>H10</f>
        <v>44</v>
      </c>
      <c r="H11" s="8">
        <f t="shared" si="1"/>
        <v>46</v>
      </c>
      <c r="I11" s="8">
        <f>F11/Hypothèses!$B$6</f>
        <v>5.2</v>
      </c>
      <c r="J11" s="8">
        <f>H11/Hypothèses!$B$6</f>
        <v>9.1999999999999993</v>
      </c>
      <c r="K11" s="4" t="s">
        <v>202</v>
      </c>
      <c r="N11" s="22">
        <f>IF(AND(1*Hypothèses!$B$6&gt;G11,(1-1)*Hypothèses!$B$6&lt;H11),1,0)</f>
        <v>0</v>
      </c>
      <c r="O11" s="22">
        <f>IF(AND(2*Hypothèses!$B$6&gt;G11,(2-1)*Hypothèses!$B$6&lt;H11),1,0)</f>
        <v>0</v>
      </c>
      <c r="P11" s="22">
        <f>IF(AND(3*Hypothèses!$B$6&gt;G11,(3-1)*Hypothèses!$B$6&lt;H11),1,0)</f>
        <v>0</v>
      </c>
      <c r="Q11" s="22">
        <f>IF(AND(4*Hypothèses!$B$6&gt;G11,(4-1)*Hypothèses!$B$6&lt;H11),1,0)</f>
        <v>0</v>
      </c>
      <c r="R11" s="22">
        <f>IF(AND(5*Hypothèses!$B$6&gt;G11,(5-1)*Hypothèses!$B$6&lt;H11),1,0)</f>
        <v>0</v>
      </c>
      <c r="S11" s="22">
        <f>IF(AND(6*Hypothèses!$B$6&gt;G11,(6-1)*Hypothèses!$B$6&lt;H11),1,0)</f>
        <v>0</v>
      </c>
      <c r="T11" s="22">
        <f>IF(AND(7*Hypothèses!$B$6&gt;G11,(7-1)*Hypothèses!$B$6&lt;H11),1,0)</f>
        <v>0</v>
      </c>
      <c r="U11" s="22">
        <f>IF(AND(8*Hypothèses!$B$6&gt;G11,(8-1)*Hypothèses!$B$6&lt;H11),1,0)</f>
        <v>0</v>
      </c>
      <c r="V11" s="22">
        <f>IF(AND(9*Hypothèses!$B$6&gt;G11,(9-1)*Hypothèses!$B$6&lt;H11),1,0)</f>
        <v>1</v>
      </c>
      <c r="W11" s="22">
        <f>IF(AND(10*Hypothèses!$B$6&gt;G11,(10-1)*Hypothèses!$B$6&lt;H11),1,0)</f>
        <v>1</v>
      </c>
      <c r="X11" s="22">
        <f>IF(AND(11*Hypothèses!$B$6&gt;G11,(11-1)*Hypothèses!$B$6&lt;H11),1,0)</f>
        <v>0</v>
      </c>
      <c r="Y11" s="22">
        <f>IF(AND(12*Hypothèses!$B$6&gt;G11,(12-1)*Hypothèses!$B$6&lt;H11),1,0)</f>
        <v>0</v>
      </c>
      <c r="Z11" s="22">
        <f>IF(AND(13*Hypothèses!$B$6&gt;G11,(13-1)*Hypothèses!$B$6&lt;H11),1,0)</f>
        <v>0</v>
      </c>
    </row>
    <row r="12" spans="1:26" x14ac:dyDescent="0.35">
      <c r="A12" s="16"/>
      <c r="B12" s="6" t="s">
        <v>203</v>
      </c>
      <c r="C12" s="16"/>
      <c r="D12" s="16"/>
      <c r="E12" s="16"/>
      <c r="F12" s="9">
        <f>MAX(F11,F7)</f>
        <v>26</v>
      </c>
      <c r="G12" s="16"/>
      <c r="H12" s="9">
        <f>MAX(H11,H7)</f>
        <v>60</v>
      </c>
      <c r="I12" s="9">
        <f>F12/Hypothèses!$B$6</f>
        <v>5.2</v>
      </c>
      <c r="J12" s="9">
        <f>H12/Hypothèses!$B$6</f>
        <v>12</v>
      </c>
      <c r="K12" s="6" t="s">
        <v>204</v>
      </c>
    </row>
  </sheetData>
  <conditionalFormatting sqref="N5:Z11">
    <cfRule type="expression" dxfId="0" priority="2">
      <formula>N5=1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8"/>
  <sheetViews>
    <sheetView showGridLines="0" zoomScaleNormal="100" workbookViewId="0"/>
  </sheetViews>
  <sheetFormatPr baseColWidth="10" defaultColWidth="8.6328125" defaultRowHeight="14.5" x14ac:dyDescent="0.35"/>
  <cols>
    <col min="1" max="1" width="38" customWidth="1"/>
    <col min="2" max="2" width="12" customWidth="1"/>
    <col min="3" max="6" width="20" customWidth="1"/>
  </cols>
  <sheetData>
    <row r="1" spans="1:6" ht="18" x14ac:dyDescent="0.4">
      <c r="A1" s="1" t="s">
        <v>205</v>
      </c>
    </row>
    <row r="3" spans="1:6" ht="45" customHeight="1" x14ac:dyDescent="0.35">
      <c r="A3" s="3" t="s">
        <v>206</v>
      </c>
      <c r="B3" s="3" t="s">
        <v>207</v>
      </c>
      <c r="C3" s="3" t="s">
        <v>208</v>
      </c>
      <c r="D3" s="3" t="s">
        <v>209</v>
      </c>
      <c r="E3" s="3" t="s">
        <v>210</v>
      </c>
      <c r="F3" s="3" t="s">
        <v>211</v>
      </c>
    </row>
    <row r="4" spans="1:6" x14ac:dyDescent="0.35">
      <c r="A4" s="4" t="s">
        <v>212</v>
      </c>
      <c r="B4" s="14">
        <v>1</v>
      </c>
      <c r="C4" s="8">
        <f>(Planning!$C$5+Planning!$C$6+Planning!$C$8+Hypothèses!$B$7/B4+Planning!$C$10+Planning!$C$11)/Hypothèses!$B$6</f>
        <v>7.2</v>
      </c>
      <c r="D4" s="8">
        <f>(Planning!$D$5+Planning!$D$6+Planning!$D$8+Hypothèses!$B$8/B4+Planning!$D$10+Planning!$D$11)/Hypothèses!$B$6</f>
        <v>11.6</v>
      </c>
      <c r="E4" s="8">
        <f>MAX(C4,(Hypothèses!$B$9+Planning!$C$7)/Hypothèses!$B$6)</f>
        <v>7.2</v>
      </c>
      <c r="F4" s="8">
        <f>MAX(D4,(Hypothèses!$B$9+Planning!$D$7)/Hypothèses!$B$6)</f>
        <v>12</v>
      </c>
    </row>
    <row r="5" spans="1:6" x14ac:dyDescent="0.35">
      <c r="A5" s="4" t="s">
        <v>213</v>
      </c>
      <c r="B5" s="14">
        <v>2</v>
      </c>
      <c r="C5" s="8">
        <f>(Planning!$C$5+Planning!$C$6+Planning!$C$8+Hypothèses!$B$7/B5+Planning!$C$10+Planning!$C$11)/Hypothèses!$B$6</f>
        <v>5.2</v>
      </c>
      <c r="D5" s="8">
        <f>(Planning!$D$5+Planning!$D$6+Planning!$D$8+Hypothèses!$B$8/B5+Planning!$D$10+Planning!$D$11)/Hypothèses!$B$6</f>
        <v>9.1999999999999993</v>
      </c>
      <c r="E5" s="8">
        <f>MAX(C5,(Hypothèses!$B$9+Planning!$C$7)/Hypothèses!$B$6)</f>
        <v>5.2</v>
      </c>
      <c r="F5" s="8">
        <f>MAX(D5,(Hypothèses!$B$9+Planning!$D$7)/Hypothèses!$B$6)</f>
        <v>12</v>
      </c>
    </row>
    <row r="6" spans="1:6" x14ac:dyDescent="0.35">
      <c r="A6" s="4" t="s">
        <v>214</v>
      </c>
      <c r="B6" s="14">
        <v>3</v>
      </c>
      <c r="C6" s="8">
        <f>(Planning!$C$5+Planning!$C$6+Planning!$C$8+Hypothèses!$B$7/B6+Planning!$C$10+Planning!$C$11)/Hypothèses!$B$6</f>
        <v>4.5333333333333332</v>
      </c>
      <c r="D6" s="8">
        <f>(Planning!$D$5+Planning!$D$6+Planning!$D$8+Hypothèses!$B$8/B6+Planning!$D$10+Planning!$D$11)/Hypothèses!$B$6</f>
        <v>8.4</v>
      </c>
      <c r="E6" s="8">
        <f>MAX(C6,(Hypothèses!$B$9+Planning!$C$7)/Hypothèses!$B$6)</f>
        <v>4.5333333333333332</v>
      </c>
      <c r="F6" s="8">
        <f>MAX(D6,(Hypothèses!$B$9+Planning!$D$7)/Hypothèses!$B$6)</f>
        <v>12</v>
      </c>
    </row>
    <row r="8" spans="1:6" x14ac:dyDescent="0.35">
      <c r="A8" s="13" t="s">
        <v>215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Synthèse</vt:lpstr>
      <vt:lpstr>Hypothèses</vt:lpstr>
      <vt:lpstr>Matériel</vt:lpstr>
      <vt:lpstr>Abonnements</vt:lpstr>
      <vt:lpstr>Installation</vt:lpstr>
      <vt:lpstr>Planning</vt:lpstr>
      <vt:lpstr>Scénarios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Maximilien Darvas</cp:lastModifiedBy>
  <cp:revision>0</cp:revision>
  <dcterms:created xsi:type="dcterms:W3CDTF">2026-10-07T11:40:17Z</dcterms:created>
  <dcterms:modified xsi:type="dcterms:W3CDTF">2026-10-08T09:02:42Z</dcterms:modified>
  <dc:language>en-US</dc:language>
</cp:coreProperties>
</file>