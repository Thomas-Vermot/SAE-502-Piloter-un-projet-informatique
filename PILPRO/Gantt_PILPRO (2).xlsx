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" sheetId="1" state="visible" r:id="rId3"/>
    <sheet name="Synthè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<sst xmlns="http://schemas.openxmlformats.org/spreadsheetml/2006/main" count="103" uniqueCount="46">
  <si>
    <t xml:space="preserve">PLANNING GANTT — PROJET PILPRO</t>
  </si>
  <si>
    <t xml:space="preserve">Sans travail le week-end — heures supplémentaires uniquement en soirée</t>
  </si>
  <si>
    <t xml:space="preserve">N°</t>
  </si>
  <si>
    <t xml:space="preserve">Jour</t>
  </si>
  <si>
    <t xml:space="preserve">Tâche</t>
  </si>
  <si>
    <t xml:space="preserve">Début</t>
  </si>
  <si>
    <t xml:space="preserve">Fin</t>
  </si>
  <si>
    <t xml:space="preserve">Durée (h)</t>
  </si>
  <si>
    <t xml:space="preserve">Type</t>
  </si>
  <si>
    <t xml:space="preserve">Statut</t>
  </si>
  <si>
    <t xml:space="preserve">Avancement</t>
  </si>
  <si>
    <t xml:space="preserve">Aujourd'hui</t>
  </si>
  <si>
    <t xml:space="preserve">Trello : déclaration du projet, du groupe + captures</t>
  </si>
  <si>
    <t xml:space="preserve">Normal</t>
  </si>
  <si>
    <t xml:space="preserve">À faire</t>
  </si>
  <si>
    <t xml:space="preserve">Rendu TP : rapport PowerPoint</t>
  </si>
  <si>
    <t xml:space="preserve">Rendu TP : export PDF + vérification</t>
  </si>
  <si>
    <t xml:space="preserve">07/10</t>
  </si>
  <si>
    <t xml:space="preserve">Analyse du cahier des charges</t>
  </si>
  <si>
    <t xml:space="preserve">Définition des besoins et contraintes</t>
  </si>
  <si>
    <t xml:space="preserve">Conception de l'architecture réseau</t>
  </si>
  <si>
    <t xml:space="preserve">Schéma réseau + architecture détaillée</t>
  </si>
  <si>
    <t xml:space="preserve">Soir : vérification de l'architecture</t>
  </si>
  <si>
    <t xml:space="preserve">Heure sup</t>
  </si>
  <si>
    <t xml:space="preserve">08/10</t>
  </si>
  <si>
    <t xml:space="preserve">Plan d'adressage IP</t>
  </si>
  <si>
    <t xml:space="preserve">Préparation des équipements</t>
  </si>
  <si>
    <t xml:space="preserve">Configuration réseau / VLAN / routage</t>
  </si>
  <si>
    <t xml:space="preserve">Configuration FortiGate</t>
  </si>
  <si>
    <t xml:space="preserve">Soir : vérifications de la configuration</t>
  </si>
  <si>
    <t xml:space="preserve">09/10</t>
  </si>
  <si>
    <t xml:space="preserve">VPN / IPsec</t>
  </si>
  <si>
    <t xml:space="preserve">SD-WAN</t>
  </si>
  <si>
    <t xml:space="preserve">Zabbix / supervision</t>
  </si>
  <si>
    <t xml:space="preserve">Configuration badgeuse</t>
  </si>
  <si>
    <t xml:space="preserve">Configuration ouverture de porte</t>
  </si>
  <si>
    <t xml:space="preserve">Soir : tests badgeuse / porte</t>
  </si>
  <si>
    <t xml:space="preserve">TOTAL</t>
  </si>
  <si>
    <t xml:space="preserve">Légende :</t>
  </si>
  <si>
    <t xml:space="preserve">Heures normales</t>
  </si>
  <si>
    <t xml:space="preserve">Heures supplémentaires (soir)</t>
  </si>
  <si>
    <t xml:space="preserve">Note :</t>
  </si>
  <si>
    <t xml:space="preserve">Modifier les colonnes 'Statut' et 'Avancement' pour suivre la progression. Les colonnes horaires (J à U) se recalculent automatiquement.</t>
  </si>
  <si>
    <t xml:space="preserve">SYNTHÈSE DU PROJET PILPRO</t>
  </si>
  <si>
    <t xml:space="preserve">Heures sup.</t>
  </si>
  <si>
    <t xml:space="preserve">Total (h)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</si>
</sst>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h:mm"/>
    <numFmt numFmtId="166" formatCode="0.00"/>
    <numFmt numFmtId="167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70AD47"/>
        <bgColor rgb="FF878787"/>
      </patternFill>
    </fill>
    <fill>
      <patternFill patternType="solid">
        <fgColor rgb="FFED7D31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70AD47"/>
        </patternFill>
      </fill>
    </dxf>
    <dxf>
      <fill>
        <patternFill>
          <bgColor rgb="FFED7D3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Répartition des heures par jour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Synthèse!B3</c:f>
              <c:strCache>
                <c:ptCount val="1"/>
                <c:pt idx="0">
                  <c:v>Heures normales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Synthèse!$A$4:$A$7</c:f>
              <c:strCache>
                <c:ptCount val="4"/>
                <c:pt idx="0">
                  <c:v>Aujourd'hui</c:v>
                </c:pt>
                <c:pt idx="1">
                  <c:v>07/10</c:v>
                </c:pt>
                <c:pt idx="2">
                  <c:v>08/10</c:v>
                </c:pt>
                <c:pt idx="3">
                  <c:v>09/10</c:v>
                </c:pt>
              </c:strCache>
            </c:strRef>
          </c:cat>
          <c:val>
            <c:numRef>
              <c:f>Synthèse!$B$4:$B$7</c:f>
              <c:numCache>
                <c:formatCode>0.00</c:formatCode>
                <c:ptCount val="4"/>
                <c:pt idx="0">
                  <c:v>4.5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</c:numCache>
            </c:numRef>
          </c:val>
        </c:ser>
        <c:ser>
          <c:idx val="1"/>
          <c:order val="1"/>
          <c:tx>
            <c:strRef>
              <c:f>Synthèse!C3</c:f>
              <c:strCache>
                <c:ptCount val="1"/>
                <c:pt idx="0">
                  <c:v>Heures sup.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Synthèse!$A$4:$A$7</c:f>
              <c:strCache>
                <c:ptCount val="4"/>
                <c:pt idx="0">
                  <c:v>Aujourd'hui</c:v>
                </c:pt>
                <c:pt idx="1">
                  <c:v>07/10</c:v>
                </c:pt>
                <c:pt idx="2">
                  <c:v>08/10</c:v>
                </c:pt>
                <c:pt idx="3">
                  <c:v>09/10</c:v>
                </c:pt>
              </c:strCache>
            </c:strRef>
          </c:cat>
          <c:val>
            <c:numRef>
              <c:f>Synthèse!$C$4:$C$7</c:f>
              <c:numCache>
                <c:formatCode>0.00</c:formatCode>
                <c:ptCount val="4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</c:numCache>
            </c:numRef>
          </c:val>
        </c:ser>
        <c:gapWidth val="150"/>
        <c:overlap val="100"/>
        <c:axId val="23302541"/>
        <c:axId val="7380316"/>
      </c:barChart>
      <c:catAx>
        <c:axId val="233025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Jour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0316"/>
        <c:crosses val="autoZero"/>
        <c:auto val="1"/>
        <c:lblAlgn val="ctr"/>
        <c:lblOffset val="100"/>
        <c:noMultiLvlLbl val="0"/>
      </c:catAx>
      <c:valAx>
        <c:axId val="73803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Heures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3025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6</xdr:col>
      <xdr:colOff>589320</xdr:colOff>
      <xdr:row>26</xdr:row>
      <xdr:rowOff>1080</xdr:rowOff>
    </xdr:to>
    <xdr:graphicFrame>
      <xdr:nvGraphicFramePr>
        <xdr:cNvPr id="0" name="Chart 1"/>
        <xdr:cNvGraphicFramePr/>
      </xdr:nvGraphicFramePr>
      <xdr:xfrm>
        <a:off x="0" y="1847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J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0"/>
    <col collapsed="false" customWidth="true" hidden="false" outlineLevel="0" max="5" min="4" style="0" width="8"/>
    <col collapsed="false" customWidth="true" hidden="false" outlineLevel="0" max="6" min="6" style="0" width="10"/>
    <col collapsed="false" customWidth="true" hidden="false" outlineLevel="0" max="9" min="7" style="0" width="12"/>
    <col collapsed="false" customWidth="true" hidden="false" outlineLevel="0" max="21" min="10" style="0" width="6.51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4" t="n">
        <v>0.333333333333333</v>
      </c>
      <c r="K3" s="4" t="n">
        <v>0.375</v>
      </c>
      <c r="L3" s="4" t="n">
        <v>0.416666666666667</v>
      </c>
      <c r="M3" s="4" t="n">
        <v>0.458333333333333</v>
      </c>
      <c r="N3" s="4" t="n">
        <v>0.5</v>
      </c>
      <c r="O3" s="4" t="n">
        <v>0.541666666666667</v>
      </c>
      <c r="P3" s="4" t="n">
        <v>0.583333333333333</v>
      </c>
      <c r="Q3" s="4" t="n">
        <v>0.625</v>
      </c>
      <c r="R3" s="4" t="n">
        <v>0.666666666666667</v>
      </c>
      <c r="S3" s="4" t="n">
        <v>0.708333333333333</v>
      </c>
      <c r="T3" s="4" t="n">
        <v>0.75</v>
      </c>
      <c r="U3" s="4" t="n">
        <v>0.791666666666667</v>
      </c>
    </row>
    <row r="4" customFormat="false" ht="15" hidden="false" customHeight="false" outlineLevel="0" collapsed="false">
      <c r="A4" s="5" t="n">
        <v>1</v>
      </c>
      <c r="B4" s="6" t="s">
        <v>11</v>
      </c>
      <c r="C4" s="7" t="s">
        <v>12</v>
      </c>
      <c r="D4" s="8" t="n">
        <v>0.375</v>
      </c>
      <c r="E4" s="8" t="n">
        <v>0.458333333333333</v>
      </c>
      <c r="F4" s="9" t="n">
        <f aca="false">(E4-D4)*24</f>
        <v>2</v>
      </c>
      <c r="G4" s="5" t="s">
        <v>13</v>
      </c>
      <c r="H4" s="5" t="s">
        <v>14</v>
      </c>
      <c r="I4" s="10" t="n">
        <v>0</v>
      </c>
      <c r="J4" s="11" t="str">
        <f aca="false">IF(AND($J$3&gt;=$D4,$J$3&lt;$E4),$G4,"")</f>
        <v/>
      </c>
      <c r="K4" s="11" t="str">
        <f aca="false">IF(AND($K$3&gt;=$D4,$K$3&lt;$E4),$G4,"")</f>
        <v>Normal</v>
      </c>
      <c r="L4" s="11" t="str">
        <f aca="false">IF(AND($L$3&gt;=$D4,$L$3&lt;$E4),$G4,"")</f>
        <v>Normal</v>
      </c>
      <c r="M4" s="11" t="str">
        <f aca="false">IF(AND($M$3&gt;=$D4,$M$3&lt;$E4),$G4,"")</f>
        <v/>
      </c>
      <c r="N4" s="11" t="str">
        <f aca="false">IF(AND($N$3&gt;=$D4,$N$3&lt;$E4),$G4,"")</f>
        <v/>
      </c>
      <c r="O4" s="11" t="str">
        <f aca="false">IF(AND($O$3&gt;=$D4,$O$3&lt;$E4),$G4,"")</f>
        <v/>
      </c>
      <c r="P4" s="11" t="str">
        <f aca="false">IF(AND($P$3&gt;=$D4,$P$3&lt;$E4),$G4,"")</f>
        <v/>
      </c>
      <c r="Q4" s="11" t="str">
        <f aca="false">IF(AND($Q$3&gt;=$D4,$Q$3&lt;$E4),$G4,"")</f>
        <v/>
      </c>
      <c r="R4" s="11" t="str">
        <f aca="false">IF(AND($R$3&gt;=$D4,$R$3&lt;$E4),$G4,"")</f>
        <v/>
      </c>
      <c r="S4" s="11" t="str">
        <f aca="false">IF(AND($S$3&gt;=$D4,$S$3&lt;$E4),$G4,"")</f>
        <v/>
      </c>
      <c r="T4" s="11" t="str">
        <f aca="false">IF(AND($T$3&gt;=$D4,$T$3&lt;$E4),$G4,"")</f>
        <v/>
      </c>
      <c r="U4" s="11" t="str">
        <f aca="false">IF(AND($U$3&gt;=$D4,$U$3&lt;$E4),$G4,"")</f>
        <v/>
      </c>
    </row>
    <row r="5" customFormat="false" ht="15" hidden="false" customHeight="false" outlineLevel="0" collapsed="false">
      <c r="A5" s="5" t="n">
        <v>2</v>
      </c>
      <c r="B5" s="6" t="s">
        <v>11</v>
      </c>
      <c r="C5" s="7" t="s">
        <v>15</v>
      </c>
      <c r="D5" s="8" t="n">
        <v>0.458333333333333</v>
      </c>
      <c r="E5" s="8" t="n">
        <v>0.541666666666667</v>
      </c>
      <c r="F5" s="9" t="n">
        <f aca="false">(E5-D5)*24</f>
        <v>2</v>
      </c>
      <c r="G5" s="5" t="s">
        <v>13</v>
      </c>
      <c r="H5" s="5" t="s">
        <v>14</v>
      </c>
      <c r="I5" s="10" t="n">
        <v>0</v>
      </c>
      <c r="J5" s="11" t="str">
        <f aca="false">IF(AND($J$3&gt;=$D5,$J$3&lt;$E5),$G5,"")</f>
        <v/>
      </c>
      <c r="K5" s="11" t="str">
        <f aca="false">IF(AND($K$3&gt;=$D5,$K$3&lt;$E5),$G5,"")</f>
        <v/>
      </c>
      <c r="L5" s="11" t="str">
        <f aca="false">IF(AND($L$3&gt;=$D5,$L$3&lt;$E5),$G5,"")</f>
        <v/>
      </c>
      <c r="M5" s="11" t="str">
        <f aca="false">IF(AND($M$3&gt;=$D5,$M$3&lt;$E5),$G5,"")</f>
        <v>Normal</v>
      </c>
      <c r="N5" s="11" t="str">
        <f aca="false">IF(AND($N$3&gt;=$D5,$N$3&lt;$E5),$G5,"")</f>
        <v>Normal</v>
      </c>
      <c r="O5" s="11" t="str">
        <f aca="false">IF(AND($O$3&gt;=$D5,$O$3&lt;$E5),$G5,"")</f>
        <v/>
      </c>
      <c r="P5" s="11" t="str">
        <f aca="false">IF(AND($P$3&gt;=$D5,$P$3&lt;$E5),$G5,"")</f>
        <v/>
      </c>
      <c r="Q5" s="11" t="str">
        <f aca="false">IF(AND($Q$3&gt;=$D5,$Q$3&lt;$E5),$G5,"")</f>
        <v/>
      </c>
      <c r="R5" s="11" t="str">
        <f aca="false">IF(AND($R$3&gt;=$D5,$R$3&lt;$E5),$G5,"")</f>
        <v/>
      </c>
      <c r="S5" s="11" t="str">
        <f aca="false">IF(AND($S$3&gt;=$D5,$S$3&lt;$E5),$G5,"")</f>
        <v/>
      </c>
      <c r="T5" s="11" t="str">
        <f aca="false">IF(AND($T$3&gt;=$D5,$T$3&lt;$E5),$G5,"")</f>
        <v/>
      </c>
      <c r="U5" s="11" t="str">
        <f aca="false">IF(AND($U$3&gt;=$D5,$U$3&lt;$E5),$G5,"")</f>
        <v/>
      </c>
    </row>
    <row r="6" customFormat="false" ht="15" hidden="false" customHeight="false" outlineLevel="0" collapsed="false">
      <c r="A6" s="5" t="n">
        <v>3</v>
      </c>
      <c r="B6" s="6" t="s">
        <v>11</v>
      </c>
      <c r="C6" s="7" t="s">
        <v>16</v>
      </c>
      <c r="D6" s="8" t="n">
        <v>0.541666666666667</v>
      </c>
      <c r="E6" s="8" t="n">
        <v>0.5625</v>
      </c>
      <c r="F6" s="9" t="n">
        <f aca="false">(E6-D6)*24</f>
        <v>0.5</v>
      </c>
      <c r="G6" s="5" t="s">
        <v>13</v>
      </c>
      <c r="H6" s="5" t="s">
        <v>14</v>
      </c>
      <c r="I6" s="10" t="n">
        <v>0</v>
      </c>
      <c r="J6" s="11" t="str">
        <f aca="false">IF(AND($J$3&gt;=$D6,$J$3&lt;$E6),$G6,"")</f>
        <v/>
      </c>
      <c r="K6" s="11" t="str">
        <f aca="false">IF(AND($K$3&gt;=$D6,$K$3&lt;$E6),$G6,"")</f>
        <v/>
      </c>
      <c r="L6" s="11" t="str">
        <f aca="false">IF(AND($L$3&gt;=$D6,$L$3&lt;$E6),$G6,"")</f>
        <v/>
      </c>
      <c r="M6" s="11" t="str">
        <f aca="false">IF(AND($M$3&gt;=$D6,$M$3&lt;$E6),$G6,"")</f>
        <v/>
      </c>
      <c r="N6" s="11" t="str">
        <f aca="false">IF(AND($N$3&gt;=$D6,$N$3&lt;$E6),$G6,"")</f>
        <v/>
      </c>
      <c r="O6" s="11" t="str">
        <f aca="false">IF(AND($O$3&gt;=$D6,$O$3&lt;$E6),$G6,"")</f>
        <v>Normal</v>
      </c>
      <c r="P6" s="11" t="str">
        <f aca="false">IF(AND($P$3&gt;=$D6,$P$3&lt;$E6),$G6,"")</f>
        <v/>
      </c>
      <c r="Q6" s="11" t="str">
        <f aca="false">IF(AND($Q$3&gt;=$D6,$Q$3&lt;$E6),$G6,"")</f>
        <v/>
      </c>
      <c r="R6" s="11" t="str">
        <f aca="false">IF(AND($R$3&gt;=$D6,$R$3&lt;$E6),$G6,"")</f>
        <v/>
      </c>
      <c r="S6" s="11" t="str">
        <f aca="false">IF(AND($S$3&gt;=$D6,$S$3&lt;$E6),$G6,"")</f>
        <v/>
      </c>
      <c r="T6" s="11" t="str">
        <f aca="false">IF(AND($T$3&gt;=$D6,$T$3&lt;$E6),$G6,"")</f>
        <v/>
      </c>
      <c r="U6" s="11" t="str">
        <f aca="false">IF(AND($U$3&gt;=$D6,$U$3&lt;$E6),$G6,"")</f>
        <v/>
      </c>
    </row>
    <row r="7" customFormat="false" ht="15" hidden="false" customHeight="false" outlineLevel="0" collapsed="false">
      <c r="A7" s="5" t="n">
        <v>4</v>
      </c>
      <c r="B7" s="12" t="s">
        <v>17</v>
      </c>
      <c r="C7" s="7" t="s">
        <v>18</v>
      </c>
      <c r="D7" s="8" t="n">
        <v>0.333333333333333</v>
      </c>
      <c r="E7" s="8" t="n">
        <v>0.416666666666667</v>
      </c>
      <c r="F7" s="9" t="n">
        <f aca="false">(E7-D7)*24</f>
        <v>2</v>
      </c>
      <c r="G7" s="5" t="s">
        <v>13</v>
      </c>
      <c r="H7" s="5" t="s">
        <v>14</v>
      </c>
      <c r="I7" s="10" t="n">
        <v>0</v>
      </c>
      <c r="J7" s="11" t="str">
        <f aca="false">IF(AND($J$3&gt;=$D7,$J$3&lt;$E7),$G7,"")</f>
        <v>Normal</v>
      </c>
      <c r="K7" s="11" t="str">
        <f aca="false">IF(AND($K$3&gt;=$D7,$K$3&lt;$E7),$G7,"")</f>
        <v>Normal</v>
      </c>
      <c r="L7" s="11" t="str">
        <f aca="false">IF(AND($L$3&gt;=$D7,$L$3&lt;$E7),$G7,"")</f>
        <v/>
      </c>
      <c r="M7" s="11" t="str">
        <f aca="false">IF(AND($M$3&gt;=$D7,$M$3&lt;$E7),$G7,"")</f>
        <v/>
      </c>
      <c r="N7" s="11" t="str">
        <f aca="false">IF(AND($N$3&gt;=$D7,$N$3&lt;$E7),$G7,"")</f>
        <v/>
      </c>
      <c r="O7" s="11" t="str">
        <f aca="false">IF(AND($O$3&gt;=$D7,$O$3&lt;$E7),$G7,"")</f>
        <v/>
      </c>
      <c r="P7" s="11" t="str">
        <f aca="false">IF(AND($P$3&gt;=$D7,$P$3&lt;$E7),$G7,"")</f>
        <v/>
      </c>
      <c r="Q7" s="11" t="str">
        <f aca="false">IF(AND($Q$3&gt;=$D7,$Q$3&lt;$E7),$G7,"")</f>
        <v/>
      </c>
      <c r="R7" s="11" t="str">
        <f aca="false">IF(AND($R$3&gt;=$D7,$R$3&lt;$E7),$G7,"")</f>
        <v/>
      </c>
      <c r="S7" s="11" t="str">
        <f aca="false">IF(AND($S$3&gt;=$D7,$S$3&lt;$E7),$G7,"")</f>
        <v/>
      </c>
      <c r="T7" s="11" t="str">
        <f aca="false">IF(AND($T$3&gt;=$D7,$T$3&lt;$E7),$G7,"")</f>
        <v/>
      </c>
      <c r="U7" s="11" t="str">
        <f aca="false">IF(AND($U$3&gt;=$D7,$U$3&lt;$E7),$G7,"")</f>
        <v/>
      </c>
    </row>
    <row r="8" customFormat="false" ht="15" hidden="false" customHeight="false" outlineLevel="0" collapsed="false">
      <c r="A8" s="5" t="n">
        <v>5</v>
      </c>
      <c r="B8" s="12" t="s">
        <v>17</v>
      </c>
      <c r="C8" s="7" t="s">
        <v>19</v>
      </c>
      <c r="D8" s="8" t="n">
        <v>0.416666666666667</v>
      </c>
      <c r="E8" s="8" t="n">
        <v>0.5</v>
      </c>
      <c r="F8" s="9" t="n">
        <f aca="false">(E8-D8)*24</f>
        <v>2</v>
      </c>
      <c r="G8" s="5" t="s">
        <v>13</v>
      </c>
      <c r="H8" s="5" t="s">
        <v>14</v>
      </c>
      <c r="I8" s="10" t="n">
        <v>0</v>
      </c>
      <c r="J8" s="11" t="str">
        <f aca="false">IF(AND($J$3&gt;=$D8,$J$3&lt;$E8),$G8,"")</f>
        <v/>
      </c>
      <c r="K8" s="11" t="str">
        <f aca="false">IF(AND($K$3&gt;=$D8,$K$3&lt;$E8),$G8,"")</f>
        <v/>
      </c>
      <c r="L8" s="11" t="str">
        <f aca="false">IF(AND($L$3&gt;=$D8,$L$3&lt;$E8),$G8,"")</f>
        <v>Normal</v>
      </c>
      <c r="M8" s="11" t="str">
        <f aca="false">IF(AND($M$3&gt;=$D8,$M$3&lt;$E8),$G8,"")</f>
        <v>Normal</v>
      </c>
      <c r="N8" s="11" t="str">
        <f aca="false">IF(AND($N$3&gt;=$D8,$N$3&lt;$E8),$G8,"")</f>
        <v/>
      </c>
      <c r="O8" s="11" t="str">
        <f aca="false">IF(AND($O$3&gt;=$D8,$O$3&lt;$E8),$G8,"")</f>
        <v/>
      </c>
      <c r="P8" s="11" t="str">
        <f aca="false">IF(AND($P$3&gt;=$D8,$P$3&lt;$E8),$G8,"")</f>
        <v/>
      </c>
      <c r="Q8" s="11" t="str">
        <f aca="false">IF(AND($Q$3&gt;=$D8,$Q$3&lt;$E8),$G8,"")</f>
        <v/>
      </c>
      <c r="R8" s="11" t="str">
        <f aca="false">IF(AND($R$3&gt;=$D8,$R$3&lt;$E8),$G8,"")</f>
        <v/>
      </c>
      <c r="S8" s="11" t="str">
        <f aca="false">IF(AND($S$3&gt;=$D8,$S$3&lt;$E8),$G8,"")</f>
        <v/>
      </c>
      <c r="T8" s="11" t="str">
        <f aca="false">IF(AND($T$3&gt;=$D8,$T$3&lt;$E8),$G8,"")</f>
        <v/>
      </c>
      <c r="U8" s="11" t="str">
        <f aca="false">IF(AND($U$3&gt;=$D8,$U$3&lt;$E8),$G8,"")</f>
        <v/>
      </c>
    </row>
    <row r="9" customFormat="false" ht="15" hidden="false" customHeight="false" outlineLevel="0" collapsed="false">
      <c r="A9" s="5" t="n">
        <v>6</v>
      </c>
      <c r="B9" s="12" t="s">
        <v>17</v>
      </c>
      <c r="C9" s="7" t="s">
        <v>20</v>
      </c>
      <c r="D9" s="8" t="n">
        <v>0.541666666666667</v>
      </c>
      <c r="E9" s="8" t="n">
        <v>0.625</v>
      </c>
      <c r="F9" s="9" t="n">
        <f aca="false">(E9-D9)*24</f>
        <v>2</v>
      </c>
      <c r="G9" s="5" t="s">
        <v>13</v>
      </c>
      <c r="H9" s="5" t="s">
        <v>14</v>
      </c>
      <c r="I9" s="10" t="n">
        <v>0</v>
      </c>
      <c r="J9" s="11" t="str">
        <f aca="false">IF(AND($J$3&gt;=$D9,$J$3&lt;$E9),$G9,"")</f>
        <v/>
      </c>
      <c r="K9" s="11" t="str">
        <f aca="false">IF(AND($K$3&gt;=$D9,$K$3&lt;$E9),$G9,"")</f>
        <v/>
      </c>
      <c r="L9" s="11" t="str">
        <f aca="false">IF(AND($L$3&gt;=$D9,$L$3&lt;$E9),$G9,"")</f>
        <v/>
      </c>
      <c r="M9" s="11" t="str">
        <f aca="false">IF(AND($M$3&gt;=$D9,$M$3&lt;$E9),$G9,"")</f>
        <v/>
      </c>
      <c r="N9" s="11" t="str">
        <f aca="false">IF(AND($N$3&gt;=$D9,$N$3&lt;$E9),$G9,"")</f>
        <v/>
      </c>
      <c r="O9" s="11" t="str">
        <f aca="false">IF(AND($O$3&gt;=$D9,$O$3&lt;$E9),$G9,"")</f>
        <v>Normal</v>
      </c>
      <c r="P9" s="11" t="str">
        <f aca="false">IF(AND($P$3&gt;=$D9,$P$3&lt;$E9),$G9,"")</f>
        <v>Normal</v>
      </c>
      <c r="Q9" s="11" t="str">
        <f aca="false">IF(AND($Q$3&gt;=$D9,$Q$3&lt;$E9),$G9,"")</f>
        <v/>
      </c>
      <c r="R9" s="11" t="str">
        <f aca="false">IF(AND($R$3&gt;=$D9,$R$3&lt;$E9),$G9,"")</f>
        <v/>
      </c>
      <c r="S9" s="11" t="str">
        <f aca="false">IF(AND($S$3&gt;=$D9,$S$3&lt;$E9),$G9,"")</f>
        <v/>
      </c>
      <c r="T9" s="11" t="str">
        <f aca="false">IF(AND($T$3&gt;=$D9,$T$3&lt;$E9),$G9,"")</f>
        <v/>
      </c>
      <c r="U9" s="11" t="str">
        <f aca="false">IF(AND($U$3&gt;=$D9,$U$3&lt;$E9),$G9,"")</f>
        <v/>
      </c>
    </row>
    <row r="10" customFormat="false" ht="15" hidden="false" customHeight="false" outlineLevel="0" collapsed="false">
      <c r="A10" s="5" t="n">
        <v>7</v>
      </c>
      <c r="B10" s="12" t="s">
        <v>17</v>
      </c>
      <c r="C10" s="7" t="s">
        <v>21</v>
      </c>
      <c r="D10" s="8" t="n">
        <v>0.625</v>
      </c>
      <c r="E10" s="8" t="n">
        <v>0.75</v>
      </c>
      <c r="F10" s="9" t="n">
        <f aca="false">(E10-D10)*24</f>
        <v>3</v>
      </c>
      <c r="G10" s="5" t="s">
        <v>13</v>
      </c>
      <c r="H10" s="5" t="s">
        <v>14</v>
      </c>
      <c r="I10" s="10" t="n">
        <v>0</v>
      </c>
      <c r="J10" s="11" t="str">
        <f aca="false">IF(AND($J$3&gt;=$D10,$J$3&lt;$E10),$G10,"")</f>
        <v/>
      </c>
      <c r="K10" s="11" t="str">
        <f aca="false">IF(AND($K$3&gt;=$D10,$K$3&lt;$E10),$G10,"")</f>
        <v/>
      </c>
      <c r="L10" s="11" t="str">
        <f aca="false">IF(AND($L$3&gt;=$D10,$L$3&lt;$E10),$G10,"")</f>
        <v/>
      </c>
      <c r="M10" s="11" t="str">
        <f aca="false">IF(AND($M$3&gt;=$D10,$M$3&lt;$E10),$G10,"")</f>
        <v/>
      </c>
      <c r="N10" s="11" t="str">
        <f aca="false">IF(AND($N$3&gt;=$D10,$N$3&lt;$E10),$G10,"")</f>
        <v/>
      </c>
      <c r="O10" s="11" t="str">
        <f aca="false">IF(AND($O$3&gt;=$D10,$O$3&lt;$E10),$G10,"")</f>
        <v/>
      </c>
      <c r="P10" s="11" t="str">
        <f aca="false">IF(AND($P$3&gt;=$D10,$P$3&lt;$E10),$G10,"")</f>
        <v/>
      </c>
      <c r="Q10" s="11" t="str">
        <f aca="false">IF(AND($Q$3&gt;=$D10,$Q$3&lt;$E10),$G10,"")</f>
        <v>Normal</v>
      </c>
      <c r="R10" s="11" t="str">
        <f aca="false">IF(AND($R$3&gt;=$D10,$R$3&lt;$E10),$G10,"")</f>
        <v>Normal</v>
      </c>
      <c r="S10" s="11" t="str">
        <f aca="false">IF(AND($S$3&gt;=$D10,$S$3&lt;$E10),$G10,"")</f>
        <v>Normal</v>
      </c>
      <c r="T10" s="11" t="str">
        <f aca="false">IF(AND($T$3&gt;=$D10,$T$3&lt;$E10),$G10,"")</f>
        <v/>
      </c>
      <c r="U10" s="11" t="str">
        <f aca="false">IF(AND($U$3&gt;=$D10,$U$3&lt;$E10),$G10,"")</f>
        <v/>
      </c>
    </row>
    <row r="11" customFormat="false" ht="15" hidden="false" customHeight="false" outlineLevel="0" collapsed="false">
      <c r="A11" s="5" t="n">
        <v>8</v>
      </c>
      <c r="B11" s="12" t="s">
        <v>17</v>
      </c>
      <c r="C11" s="7" t="s">
        <v>22</v>
      </c>
      <c r="D11" s="8" t="n">
        <v>0.75</v>
      </c>
      <c r="E11" s="8" t="n">
        <v>0.833333333333333</v>
      </c>
      <c r="F11" s="9" t="n">
        <f aca="false">(E11-D11)*24</f>
        <v>2</v>
      </c>
      <c r="G11" s="5" t="s">
        <v>23</v>
      </c>
      <c r="H11" s="5" t="s">
        <v>14</v>
      </c>
      <c r="I11" s="10" t="n">
        <v>0</v>
      </c>
      <c r="J11" s="11" t="str">
        <f aca="false">IF(AND($J$3&gt;=$D11,$J$3&lt;$E11),$G11,"")</f>
        <v/>
      </c>
      <c r="K11" s="11" t="str">
        <f aca="false">IF(AND($K$3&gt;=$D11,$K$3&lt;$E11),$G11,"")</f>
        <v/>
      </c>
      <c r="L11" s="11" t="str">
        <f aca="false">IF(AND($L$3&gt;=$D11,$L$3&lt;$E11),$G11,"")</f>
        <v/>
      </c>
      <c r="M11" s="11" t="str">
        <f aca="false">IF(AND($M$3&gt;=$D11,$M$3&lt;$E11),$G11,"")</f>
        <v/>
      </c>
      <c r="N11" s="11" t="str">
        <f aca="false">IF(AND($N$3&gt;=$D11,$N$3&lt;$E11),$G11,"")</f>
        <v/>
      </c>
      <c r="O11" s="11" t="str">
        <f aca="false">IF(AND($O$3&gt;=$D11,$O$3&lt;$E11),$G11,"")</f>
        <v/>
      </c>
      <c r="P11" s="11" t="str">
        <f aca="false">IF(AND($P$3&gt;=$D11,$P$3&lt;$E11),$G11,"")</f>
        <v/>
      </c>
      <c r="Q11" s="11" t="str">
        <f aca="false">IF(AND($Q$3&gt;=$D11,$Q$3&lt;$E11),$G11,"")</f>
        <v/>
      </c>
      <c r="R11" s="11" t="str">
        <f aca="false">IF(AND($R$3&gt;=$D11,$R$3&lt;$E11),$G11,"")</f>
        <v/>
      </c>
      <c r="S11" s="11" t="str">
        <f aca="false">IF(AND($S$3&gt;=$D11,$S$3&lt;$E11),$G11,"")</f>
        <v/>
      </c>
      <c r="T11" s="11" t="str">
        <f aca="false">IF(AND($T$3&gt;=$D11,$T$3&lt;$E11),$G11,"")</f>
        <v>Heure sup</v>
      </c>
      <c r="U11" s="11" t="str">
        <f aca="false">IF(AND($U$3&gt;=$D11,$U$3&lt;$E11),$G11,"")</f>
        <v>Heure sup</v>
      </c>
    </row>
    <row r="12" customFormat="false" ht="15" hidden="false" customHeight="false" outlineLevel="0" collapsed="false">
      <c r="A12" s="5" t="n">
        <v>9</v>
      </c>
      <c r="B12" s="13" t="s">
        <v>24</v>
      </c>
      <c r="C12" s="7" t="s">
        <v>25</v>
      </c>
      <c r="D12" s="8" t="n">
        <v>0.333333333333333</v>
      </c>
      <c r="E12" s="8" t="n">
        <v>0.416666666666667</v>
      </c>
      <c r="F12" s="9" t="n">
        <f aca="false">(E12-D12)*24</f>
        <v>2</v>
      </c>
      <c r="G12" s="5" t="s">
        <v>13</v>
      </c>
      <c r="H12" s="5" t="s">
        <v>14</v>
      </c>
      <c r="I12" s="10" t="n">
        <v>0</v>
      </c>
      <c r="J12" s="11" t="str">
        <f aca="false">IF(AND($J$3&gt;=$D12,$J$3&lt;$E12),$G12,"")</f>
        <v>Normal</v>
      </c>
      <c r="K12" s="11" t="str">
        <f aca="false">IF(AND($K$3&gt;=$D12,$K$3&lt;$E12),$G12,"")</f>
        <v>Normal</v>
      </c>
      <c r="L12" s="11" t="str">
        <f aca="false">IF(AND($L$3&gt;=$D12,$L$3&lt;$E12),$G12,"")</f>
        <v/>
      </c>
      <c r="M12" s="11" t="str">
        <f aca="false">IF(AND($M$3&gt;=$D12,$M$3&lt;$E12),$G12,"")</f>
        <v/>
      </c>
      <c r="N12" s="11" t="str">
        <f aca="false">IF(AND($N$3&gt;=$D12,$N$3&lt;$E12),$G12,"")</f>
        <v/>
      </c>
      <c r="O12" s="11" t="str">
        <f aca="false">IF(AND($O$3&gt;=$D12,$O$3&lt;$E12),$G12,"")</f>
        <v/>
      </c>
      <c r="P12" s="11" t="str">
        <f aca="false">IF(AND($P$3&gt;=$D12,$P$3&lt;$E12),$G12,"")</f>
        <v/>
      </c>
      <c r="Q12" s="11" t="str">
        <f aca="false">IF(AND($Q$3&gt;=$D12,$Q$3&lt;$E12),$G12,"")</f>
        <v/>
      </c>
      <c r="R12" s="11" t="str">
        <f aca="false">IF(AND($R$3&gt;=$D12,$R$3&lt;$E12),$G12,"")</f>
        <v/>
      </c>
      <c r="S12" s="11" t="str">
        <f aca="false">IF(AND($S$3&gt;=$D12,$S$3&lt;$E12),$G12,"")</f>
        <v/>
      </c>
      <c r="T12" s="11" t="str">
        <f aca="false">IF(AND($T$3&gt;=$D12,$T$3&lt;$E12),$G12,"")</f>
        <v/>
      </c>
      <c r="U12" s="11" t="str">
        <f aca="false">IF(AND($U$3&gt;=$D12,$U$3&lt;$E12),$G12,"")</f>
        <v/>
      </c>
    </row>
    <row r="13" customFormat="false" ht="15" hidden="false" customHeight="false" outlineLevel="0" collapsed="false">
      <c r="A13" s="5" t="n">
        <v>10</v>
      </c>
      <c r="B13" s="13" t="s">
        <v>24</v>
      </c>
      <c r="C13" s="7" t="s">
        <v>26</v>
      </c>
      <c r="D13" s="8" t="n">
        <v>0.416666666666667</v>
      </c>
      <c r="E13" s="8" t="n">
        <v>0.5</v>
      </c>
      <c r="F13" s="9" t="n">
        <f aca="false">(E13-D13)*24</f>
        <v>2</v>
      </c>
      <c r="G13" s="5" t="s">
        <v>13</v>
      </c>
      <c r="H13" s="5" t="s">
        <v>14</v>
      </c>
      <c r="I13" s="10" t="n">
        <v>0</v>
      </c>
      <c r="J13" s="11" t="str">
        <f aca="false">IF(AND($J$3&gt;=$D13,$J$3&lt;$E13),$G13,"")</f>
        <v/>
      </c>
      <c r="K13" s="11" t="str">
        <f aca="false">IF(AND($K$3&gt;=$D13,$K$3&lt;$E13),$G13,"")</f>
        <v/>
      </c>
      <c r="L13" s="11" t="str">
        <f aca="false">IF(AND($L$3&gt;=$D13,$L$3&lt;$E13),$G13,"")</f>
        <v>Normal</v>
      </c>
      <c r="M13" s="11" t="str">
        <f aca="false">IF(AND($M$3&gt;=$D13,$M$3&lt;$E13),$G13,"")</f>
        <v>Normal</v>
      </c>
      <c r="N13" s="11" t="str">
        <f aca="false">IF(AND($N$3&gt;=$D13,$N$3&lt;$E13),$G13,"")</f>
        <v/>
      </c>
      <c r="O13" s="11" t="str">
        <f aca="false">IF(AND($O$3&gt;=$D13,$O$3&lt;$E13),$G13,"")</f>
        <v/>
      </c>
      <c r="P13" s="11" t="str">
        <f aca="false">IF(AND($P$3&gt;=$D13,$P$3&lt;$E13),$G13,"")</f>
        <v/>
      </c>
      <c r="Q13" s="11" t="str">
        <f aca="false">IF(AND($Q$3&gt;=$D13,$Q$3&lt;$E13),$G13,"")</f>
        <v/>
      </c>
      <c r="R13" s="11" t="str">
        <f aca="false">IF(AND($R$3&gt;=$D13,$R$3&lt;$E13),$G13,"")</f>
        <v/>
      </c>
      <c r="S13" s="11" t="str">
        <f aca="false">IF(AND($S$3&gt;=$D13,$S$3&lt;$E13),$G13,"")</f>
        <v/>
      </c>
      <c r="T13" s="11" t="str">
        <f aca="false">IF(AND($T$3&gt;=$D13,$T$3&lt;$E13),$G13,"")</f>
        <v/>
      </c>
      <c r="U13" s="11" t="str">
        <f aca="false">IF(AND($U$3&gt;=$D13,$U$3&lt;$E13),$G13,"")</f>
        <v/>
      </c>
    </row>
    <row r="14" customFormat="false" ht="15" hidden="false" customHeight="false" outlineLevel="0" collapsed="false">
      <c r="A14" s="5" t="n">
        <v>11</v>
      </c>
      <c r="B14" s="13" t="s">
        <v>24</v>
      </c>
      <c r="C14" s="7" t="s">
        <v>27</v>
      </c>
      <c r="D14" s="8" t="n">
        <v>0.541666666666667</v>
      </c>
      <c r="E14" s="8" t="n">
        <v>0.645833333333333</v>
      </c>
      <c r="F14" s="9" t="n">
        <f aca="false">(E14-D14)*24</f>
        <v>2.5</v>
      </c>
      <c r="G14" s="5" t="s">
        <v>13</v>
      </c>
      <c r="H14" s="5" t="s">
        <v>14</v>
      </c>
      <c r="I14" s="10" t="n">
        <v>0</v>
      </c>
      <c r="J14" s="11" t="str">
        <f aca="false">IF(AND($J$3&gt;=$D14,$J$3&lt;$E14),$G14,"")</f>
        <v/>
      </c>
      <c r="K14" s="11" t="str">
        <f aca="false">IF(AND($K$3&gt;=$D14,$K$3&lt;$E14),$G14,"")</f>
        <v/>
      </c>
      <c r="L14" s="11" t="str">
        <f aca="false">IF(AND($L$3&gt;=$D14,$L$3&lt;$E14),$G14,"")</f>
        <v/>
      </c>
      <c r="M14" s="11" t="str">
        <f aca="false">IF(AND($M$3&gt;=$D14,$M$3&lt;$E14),$G14,"")</f>
        <v/>
      </c>
      <c r="N14" s="11" t="str">
        <f aca="false">IF(AND($N$3&gt;=$D14,$N$3&lt;$E14),$G14,"")</f>
        <v/>
      </c>
      <c r="O14" s="11" t="str">
        <f aca="false">IF(AND($O$3&gt;=$D14,$O$3&lt;$E14),$G14,"")</f>
        <v>Normal</v>
      </c>
      <c r="P14" s="11" t="str">
        <f aca="false">IF(AND($P$3&gt;=$D14,$P$3&lt;$E14),$G14,"")</f>
        <v>Normal</v>
      </c>
      <c r="Q14" s="11" t="str">
        <f aca="false">IF(AND($Q$3&gt;=$D14,$Q$3&lt;$E14),$G14,"")</f>
        <v>Normal</v>
      </c>
      <c r="R14" s="11" t="str">
        <f aca="false">IF(AND($R$3&gt;=$D14,$R$3&lt;$E14),$G14,"")</f>
        <v/>
      </c>
      <c r="S14" s="11" t="str">
        <f aca="false">IF(AND($S$3&gt;=$D14,$S$3&lt;$E14),$G14,"")</f>
        <v/>
      </c>
      <c r="T14" s="11" t="str">
        <f aca="false">IF(AND($T$3&gt;=$D14,$T$3&lt;$E14),$G14,"")</f>
        <v/>
      </c>
      <c r="U14" s="11" t="str">
        <f aca="false">IF(AND($U$3&gt;=$D14,$U$3&lt;$E14),$G14,"")</f>
        <v/>
      </c>
    </row>
    <row r="15" customFormat="false" ht="15" hidden="false" customHeight="false" outlineLevel="0" collapsed="false">
      <c r="A15" s="5" t="n">
        <v>12</v>
      </c>
      <c r="B15" s="13" t="s">
        <v>24</v>
      </c>
      <c r="C15" s="7" t="s">
        <v>28</v>
      </c>
      <c r="D15" s="8" t="n">
        <v>0.645833333333333</v>
      </c>
      <c r="E15" s="8" t="n">
        <v>0.75</v>
      </c>
      <c r="F15" s="9" t="n">
        <f aca="false">(E15-D15)*24</f>
        <v>2.5</v>
      </c>
      <c r="G15" s="5" t="s">
        <v>13</v>
      </c>
      <c r="H15" s="5" t="s">
        <v>14</v>
      </c>
      <c r="I15" s="10" t="n">
        <v>0</v>
      </c>
      <c r="J15" s="11" t="str">
        <f aca="false">IF(AND($J$3&gt;=$D15,$J$3&lt;$E15),$G15,"")</f>
        <v/>
      </c>
      <c r="K15" s="11" t="str">
        <f aca="false">IF(AND($K$3&gt;=$D15,$K$3&lt;$E15),$G15,"")</f>
        <v/>
      </c>
      <c r="L15" s="11" t="str">
        <f aca="false">IF(AND($L$3&gt;=$D15,$L$3&lt;$E15),$G15,"")</f>
        <v/>
      </c>
      <c r="M15" s="11" t="str">
        <f aca="false">IF(AND($M$3&gt;=$D15,$M$3&lt;$E15),$G15,"")</f>
        <v/>
      </c>
      <c r="N15" s="11" t="str">
        <f aca="false">IF(AND($N$3&gt;=$D15,$N$3&lt;$E15),$G15,"")</f>
        <v/>
      </c>
      <c r="O15" s="11" t="str">
        <f aca="false">IF(AND($O$3&gt;=$D15,$O$3&lt;$E15),$G15,"")</f>
        <v/>
      </c>
      <c r="P15" s="11" t="str">
        <f aca="false">IF(AND($P$3&gt;=$D15,$P$3&lt;$E15),$G15,"")</f>
        <v/>
      </c>
      <c r="Q15" s="11" t="str">
        <f aca="false">IF(AND($Q$3&gt;=$D15,$Q$3&lt;$E15),$G15,"")</f>
        <v/>
      </c>
      <c r="R15" s="11" t="str">
        <f aca="false">IF(AND($R$3&gt;=$D15,$R$3&lt;$E15),$G15,"")</f>
        <v>Normal</v>
      </c>
      <c r="S15" s="11" t="str">
        <f aca="false">IF(AND($S$3&gt;=$D15,$S$3&lt;$E15),$G15,"")</f>
        <v>Normal</v>
      </c>
      <c r="T15" s="11" t="str">
        <f aca="false">IF(AND($T$3&gt;=$D15,$T$3&lt;$E15),$G15,"")</f>
        <v/>
      </c>
      <c r="U15" s="11" t="str">
        <f aca="false">IF(AND($U$3&gt;=$D15,$U$3&lt;$E15),$G15,"")</f>
        <v/>
      </c>
    </row>
    <row r="16" customFormat="false" ht="15" hidden="false" customHeight="false" outlineLevel="0" collapsed="false">
      <c r="A16" s="5" t="n">
        <v>13</v>
      </c>
      <c r="B16" s="13" t="s">
        <v>24</v>
      </c>
      <c r="C16" s="7" t="s">
        <v>29</v>
      </c>
      <c r="D16" s="8" t="n">
        <v>0.75</v>
      </c>
      <c r="E16" s="8" t="n">
        <v>0.833333333333333</v>
      </c>
      <c r="F16" s="9" t="n">
        <f aca="false">(E16-D16)*24</f>
        <v>2</v>
      </c>
      <c r="G16" s="5" t="s">
        <v>23</v>
      </c>
      <c r="H16" s="5" t="s">
        <v>14</v>
      </c>
      <c r="I16" s="10" t="n">
        <v>0</v>
      </c>
      <c r="J16" s="11" t="str">
        <f aca="false">IF(AND($J$3&gt;=$D16,$J$3&lt;$E16),$G16,"")</f>
        <v/>
      </c>
      <c r="K16" s="11" t="str">
        <f aca="false">IF(AND($K$3&gt;=$D16,$K$3&lt;$E16),$G16,"")</f>
        <v/>
      </c>
      <c r="L16" s="11" t="str">
        <f aca="false">IF(AND($L$3&gt;=$D16,$L$3&lt;$E16),$G16,"")</f>
        <v/>
      </c>
      <c r="M16" s="11" t="str">
        <f aca="false">IF(AND($M$3&gt;=$D16,$M$3&lt;$E16),$G16,"")</f>
        <v/>
      </c>
      <c r="N16" s="11" t="str">
        <f aca="false">IF(AND($N$3&gt;=$D16,$N$3&lt;$E16),$G16,"")</f>
        <v/>
      </c>
      <c r="O16" s="11" t="str">
        <f aca="false">IF(AND($O$3&gt;=$D16,$O$3&lt;$E16),$G16,"")</f>
        <v/>
      </c>
      <c r="P16" s="11" t="str">
        <f aca="false">IF(AND($P$3&gt;=$D16,$P$3&lt;$E16),$G16,"")</f>
        <v/>
      </c>
      <c r="Q16" s="11" t="str">
        <f aca="false">IF(AND($Q$3&gt;=$D16,$Q$3&lt;$E16),$G16,"")</f>
        <v/>
      </c>
      <c r="R16" s="11" t="str">
        <f aca="false">IF(AND($R$3&gt;=$D16,$R$3&lt;$E16),$G16,"")</f>
        <v/>
      </c>
      <c r="S16" s="11" t="str">
        <f aca="false">IF(AND($S$3&gt;=$D16,$S$3&lt;$E16),$G16,"")</f>
        <v/>
      </c>
      <c r="T16" s="11" t="str">
        <f aca="false">IF(AND($T$3&gt;=$D16,$T$3&lt;$E16),$G16,"")</f>
        <v>Heure sup</v>
      </c>
      <c r="U16" s="11" t="str">
        <f aca="false">IF(AND($U$3&gt;=$D16,$U$3&lt;$E16),$G16,"")</f>
        <v>Heure sup</v>
      </c>
    </row>
    <row r="17" customFormat="false" ht="15" hidden="false" customHeight="false" outlineLevel="0" collapsed="false">
      <c r="A17" s="5" t="n">
        <v>14</v>
      </c>
      <c r="B17" s="14" t="s">
        <v>30</v>
      </c>
      <c r="C17" s="7" t="s">
        <v>31</v>
      </c>
      <c r="D17" s="8" t="n">
        <v>0.333333333333333</v>
      </c>
      <c r="E17" s="8" t="n">
        <v>0.416666666666667</v>
      </c>
      <c r="F17" s="9" t="n">
        <f aca="false">(E17-D17)*24</f>
        <v>2</v>
      </c>
      <c r="G17" s="5" t="s">
        <v>13</v>
      </c>
      <c r="H17" s="5" t="s">
        <v>14</v>
      </c>
      <c r="I17" s="10" t="n">
        <v>0</v>
      </c>
      <c r="J17" s="11" t="str">
        <f aca="false">IF(AND($J$3&gt;=$D17,$J$3&lt;$E17),$G17,"")</f>
        <v>Normal</v>
      </c>
      <c r="K17" s="11" t="str">
        <f aca="false">IF(AND($K$3&gt;=$D17,$K$3&lt;$E17),$G17,"")</f>
        <v>Normal</v>
      </c>
      <c r="L17" s="11" t="str">
        <f aca="false">IF(AND($L$3&gt;=$D17,$L$3&lt;$E17),$G17,"")</f>
        <v/>
      </c>
      <c r="M17" s="11" t="str">
        <f aca="false">IF(AND($M$3&gt;=$D17,$M$3&lt;$E17),$G17,"")</f>
        <v/>
      </c>
      <c r="N17" s="11" t="str">
        <f aca="false">IF(AND($N$3&gt;=$D17,$N$3&lt;$E17),$G17,"")</f>
        <v/>
      </c>
      <c r="O17" s="11" t="str">
        <f aca="false">IF(AND($O$3&gt;=$D17,$O$3&lt;$E17),$G17,"")</f>
        <v/>
      </c>
      <c r="P17" s="11" t="str">
        <f aca="false">IF(AND($P$3&gt;=$D17,$P$3&lt;$E17),$G17,"")</f>
        <v/>
      </c>
      <c r="Q17" s="11" t="str">
        <f aca="false">IF(AND($Q$3&gt;=$D17,$Q$3&lt;$E17),$G17,"")</f>
        <v/>
      </c>
      <c r="R17" s="11" t="str">
        <f aca="false">IF(AND($R$3&gt;=$D17,$R$3&lt;$E17),$G17,"")</f>
        <v/>
      </c>
      <c r="S17" s="11" t="str">
        <f aca="false">IF(AND($S$3&gt;=$D17,$S$3&lt;$E17),$G17,"")</f>
        <v/>
      </c>
      <c r="T17" s="11" t="str">
        <f aca="false">IF(AND($T$3&gt;=$D17,$T$3&lt;$E17),$G17,"")</f>
        <v/>
      </c>
      <c r="U17" s="11" t="str">
        <f aca="false">IF(AND($U$3&gt;=$D17,$U$3&lt;$E17),$G17,"")</f>
        <v/>
      </c>
    </row>
    <row r="18" customFormat="false" ht="15" hidden="false" customHeight="false" outlineLevel="0" collapsed="false">
      <c r="A18" s="5" t="n">
        <v>15</v>
      </c>
      <c r="B18" s="14" t="s">
        <v>30</v>
      </c>
      <c r="C18" s="7" t="s">
        <v>32</v>
      </c>
      <c r="D18" s="8" t="n">
        <v>0.416666666666667</v>
      </c>
      <c r="E18" s="8" t="n">
        <v>0.5</v>
      </c>
      <c r="F18" s="9" t="n">
        <f aca="false">(E18-D18)*24</f>
        <v>2</v>
      </c>
      <c r="G18" s="5" t="s">
        <v>13</v>
      </c>
      <c r="H18" s="5" t="s">
        <v>14</v>
      </c>
      <c r="I18" s="10" t="n">
        <v>0</v>
      </c>
      <c r="J18" s="11" t="str">
        <f aca="false">IF(AND($J$3&gt;=$D18,$J$3&lt;$E18),$G18,"")</f>
        <v/>
      </c>
      <c r="K18" s="11" t="str">
        <f aca="false">IF(AND($K$3&gt;=$D18,$K$3&lt;$E18),$G18,"")</f>
        <v/>
      </c>
      <c r="L18" s="11" t="str">
        <f aca="false">IF(AND($L$3&gt;=$D18,$L$3&lt;$E18),$G18,"")</f>
        <v>Normal</v>
      </c>
      <c r="M18" s="11" t="str">
        <f aca="false">IF(AND($M$3&gt;=$D18,$M$3&lt;$E18),$G18,"")</f>
        <v>Normal</v>
      </c>
      <c r="N18" s="11" t="str">
        <f aca="false">IF(AND($N$3&gt;=$D18,$N$3&lt;$E18),$G18,"")</f>
        <v/>
      </c>
      <c r="O18" s="11" t="str">
        <f aca="false">IF(AND($O$3&gt;=$D18,$O$3&lt;$E18),$G18,"")</f>
        <v/>
      </c>
      <c r="P18" s="11" t="str">
        <f aca="false">IF(AND($P$3&gt;=$D18,$P$3&lt;$E18),$G18,"")</f>
        <v/>
      </c>
      <c r="Q18" s="11" t="str">
        <f aca="false">IF(AND($Q$3&gt;=$D18,$Q$3&lt;$E18),$G18,"")</f>
        <v/>
      </c>
      <c r="R18" s="11" t="str">
        <f aca="false">IF(AND($R$3&gt;=$D18,$R$3&lt;$E18),$G18,"")</f>
        <v/>
      </c>
      <c r="S18" s="11" t="str">
        <f aca="false">IF(AND($S$3&gt;=$D18,$S$3&lt;$E18),$G18,"")</f>
        <v/>
      </c>
      <c r="T18" s="11" t="str">
        <f aca="false">IF(AND($T$3&gt;=$D18,$T$3&lt;$E18),$G18,"")</f>
        <v/>
      </c>
      <c r="U18" s="11" t="str">
        <f aca="false">IF(AND($U$3&gt;=$D18,$U$3&lt;$E18),$G18,"")</f>
        <v/>
      </c>
    </row>
    <row r="19" customFormat="false" ht="15" hidden="false" customHeight="false" outlineLevel="0" collapsed="false">
      <c r="A19" s="5" t="n">
        <v>16</v>
      </c>
      <c r="B19" s="14" t="s">
        <v>30</v>
      </c>
      <c r="C19" s="7" t="s">
        <v>33</v>
      </c>
      <c r="D19" s="8" t="n">
        <v>0.541666666666667</v>
      </c>
      <c r="E19" s="8" t="n">
        <v>0.625</v>
      </c>
      <c r="F19" s="9" t="n">
        <f aca="false">(E19-D19)*24</f>
        <v>2</v>
      </c>
      <c r="G19" s="5" t="s">
        <v>13</v>
      </c>
      <c r="H19" s="5" t="s">
        <v>14</v>
      </c>
      <c r="I19" s="10" t="n">
        <v>0</v>
      </c>
      <c r="J19" s="11" t="str">
        <f aca="false">IF(AND($J$3&gt;=$D19,$J$3&lt;$E19),$G19,"")</f>
        <v/>
      </c>
      <c r="K19" s="11" t="str">
        <f aca="false">IF(AND($K$3&gt;=$D19,$K$3&lt;$E19),$G19,"")</f>
        <v/>
      </c>
      <c r="L19" s="11" t="str">
        <f aca="false">IF(AND($L$3&gt;=$D19,$L$3&lt;$E19),$G19,"")</f>
        <v/>
      </c>
      <c r="M19" s="11" t="str">
        <f aca="false">IF(AND($M$3&gt;=$D19,$M$3&lt;$E19),$G19,"")</f>
        <v/>
      </c>
      <c r="N19" s="11" t="str">
        <f aca="false">IF(AND($N$3&gt;=$D19,$N$3&lt;$E19),$G19,"")</f>
        <v/>
      </c>
      <c r="O19" s="11" t="str">
        <f aca="false">IF(AND($O$3&gt;=$D19,$O$3&lt;$E19),$G19,"")</f>
        <v>Normal</v>
      </c>
      <c r="P19" s="11" t="str">
        <f aca="false">IF(AND($P$3&gt;=$D19,$P$3&lt;$E19),$G19,"")</f>
        <v>Normal</v>
      </c>
      <c r="Q19" s="11" t="str">
        <f aca="false">IF(AND($Q$3&gt;=$D19,$Q$3&lt;$E19),$G19,"")</f>
        <v/>
      </c>
      <c r="R19" s="11" t="str">
        <f aca="false">IF(AND($R$3&gt;=$D19,$R$3&lt;$E19),$G19,"")</f>
        <v/>
      </c>
      <c r="S19" s="11" t="str">
        <f aca="false">IF(AND($S$3&gt;=$D19,$S$3&lt;$E19),$G19,"")</f>
        <v/>
      </c>
      <c r="T19" s="11" t="str">
        <f aca="false">IF(AND($T$3&gt;=$D19,$T$3&lt;$E19),$G19,"")</f>
        <v/>
      </c>
      <c r="U19" s="11" t="str">
        <f aca="false">IF(AND($U$3&gt;=$D19,$U$3&lt;$E19),$G19,"")</f>
        <v/>
      </c>
    </row>
    <row r="20" customFormat="false" ht="15" hidden="false" customHeight="false" outlineLevel="0" collapsed="false">
      <c r="A20" s="5" t="n">
        <v>17</v>
      </c>
      <c r="B20" s="14" t="s">
        <v>30</v>
      </c>
      <c r="C20" s="7" t="s">
        <v>34</v>
      </c>
      <c r="D20" s="8" t="n">
        <v>0.625</v>
      </c>
      <c r="E20" s="8" t="n">
        <v>0.708333333333333</v>
      </c>
      <c r="F20" s="9" t="n">
        <f aca="false">(E20-D20)*24</f>
        <v>2</v>
      </c>
      <c r="G20" s="5" t="s">
        <v>13</v>
      </c>
      <c r="H20" s="5" t="s">
        <v>14</v>
      </c>
      <c r="I20" s="10" t="n">
        <v>0</v>
      </c>
      <c r="J20" s="11" t="str">
        <f aca="false">IF(AND($J$3&gt;=$D20,$J$3&lt;$E20),$G20,"")</f>
        <v/>
      </c>
      <c r="K20" s="11" t="str">
        <f aca="false">IF(AND($K$3&gt;=$D20,$K$3&lt;$E20),$G20,"")</f>
        <v/>
      </c>
      <c r="L20" s="11" t="str">
        <f aca="false">IF(AND($L$3&gt;=$D20,$L$3&lt;$E20),$G20,"")</f>
        <v/>
      </c>
      <c r="M20" s="11" t="str">
        <f aca="false">IF(AND($M$3&gt;=$D20,$M$3&lt;$E20),$G20,"")</f>
        <v/>
      </c>
      <c r="N20" s="11" t="str">
        <f aca="false">IF(AND($N$3&gt;=$D20,$N$3&lt;$E20),$G20,"")</f>
        <v/>
      </c>
      <c r="O20" s="11" t="str">
        <f aca="false">IF(AND($O$3&gt;=$D20,$O$3&lt;$E20),$G20,"")</f>
        <v/>
      </c>
      <c r="P20" s="11" t="str">
        <f aca="false">IF(AND($P$3&gt;=$D20,$P$3&lt;$E20),$G20,"")</f>
        <v/>
      </c>
      <c r="Q20" s="11" t="str">
        <f aca="false">IF(AND($Q$3&gt;=$D20,$Q$3&lt;$E20),$G20,"")</f>
        <v>Normal</v>
      </c>
      <c r="R20" s="11" t="str">
        <f aca="false">IF(AND($R$3&gt;=$D20,$R$3&lt;$E20),$G20,"")</f>
        <v>Normal</v>
      </c>
      <c r="S20" s="11" t="str">
        <f aca="false">IF(AND($S$3&gt;=$D20,$S$3&lt;$E20),$G20,"")</f>
        <v/>
      </c>
      <c r="T20" s="11" t="str">
        <f aca="false">IF(AND($T$3&gt;=$D20,$T$3&lt;$E20),$G20,"")</f>
        <v/>
      </c>
      <c r="U20" s="11" t="str">
        <f aca="false">IF(AND($U$3&gt;=$D20,$U$3&lt;$E20),$G20,"")</f>
        <v/>
      </c>
    </row>
    <row r="21" customFormat="false" ht="15" hidden="false" customHeight="false" outlineLevel="0" collapsed="false">
      <c r="A21" s="5" t="n">
        <v>18</v>
      </c>
      <c r="B21" s="14" t="s">
        <v>30</v>
      </c>
      <c r="C21" s="7" t="s">
        <v>35</v>
      </c>
      <c r="D21" s="8" t="n">
        <v>0.708333333333333</v>
      </c>
      <c r="E21" s="8" t="n">
        <v>0.75</v>
      </c>
      <c r="F21" s="9" t="n">
        <f aca="false">(E21-D21)*24</f>
        <v>1</v>
      </c>
      <c r="G21" s="5" t="s">
        <v>13</v>
      </c>
      <c r="H21" s="5" t="s">
        <v>14</v>
      </c>
      <c r="I21" s="10" t="n">
        <v>0</v>
      </c>
      <c r="J21" s="11" t="str">
        <f aca="false">IF(AND($J$3&gt;=$D21,$J$3&lt;$E21),$G21,"")</f>
        <v/>
      </c>
      <c r="K21" s="11" t="str">
        <f aca="false">IF(AND($K$3&gt;=$D21,$K$3&lt;$E21),$G21,"")</f>
        <v/>
      </c>
      <c r="L21" s="11" t="str">
        <f aca="false">IF(AND($L$3&gt;=$D21,$L$3&lt;$E21),$G21,"")</f>
        <v/>
      </c>
      <c r="M21" s="11" t="str">
        <f aca="false">IF(AND($M$3&gt;=$D21,$M$3&lt;$E21),$G21,"")</f>
        <v/>
      </c>
      <c r="N21" s="11" t="str">
        <f aca="false">IF(AND($N$3&gt;=$D21,$N$3&lt;$E21),$G21,"")</f>
        <v/>
      </c>
      <c r="O21" s="11" t="str">
        <f aca="false">IF(AND($O$3&gt;=$D21,$O$3&lt;$E21),$G21,"")</f>
        <v/>
      </c>
      <c r="P21" s="11" t="str">
        <f aca="false">IF(AND($P$3&gt;=$D21,$P$3&lt;$E21),$G21,"")</f>
        <v/>
      </c>
      <c r="Q21" s="11" t="str">
        <f aca="false">IF(AND($Q$3&gt;=$D21,$Q$3&lt;$E21),$G21,"")</f>
        <v/>
      </c>
      <c r="R21" s="11" t="str">
        <f aca="false">IF(AND($R$3&gt;=$D21,$R$3&lt;$E21),$G21,"")</f>
        <v/>
      </c>
      <c r="S21" s="11" t="str">
        <f aca="false">IF(AND($S$3&gt;=$D21,$S$3&lt;$E21),$G21,"")</f>
        <v>Normal</v>
      </c>
      <c r="T21" s="11" t="str">
        <f aca="false">IF(AND($T$3&gt;=$D21,$T$3&lt;$E21),$G21,"")</f>
        <v/>
      </c>
      <c r="U21" s="11" t="str">
        <f aca="false">IF(AND($U$3&gt;=$D21,$U$3&lt;$E21),$G21,"")</f>
        <v/>
      </c>
    </row>
    <row r="22" customFormat="false" ht="15" hidden="false" customHeight="false" outlineLevel="0" collapsed="false">
      <c r="A22" s="5" t="n">
        <v>19</v>
      </c>
      <c r="B22" s="14" t="s">
        <v>30</v>
      </c>
      <c r="C22" s="7" t="s">
        <v>36</v>
      </c>
      <c r="D22" s="8" t="n">
        <v>0.75</v>
      </c>
      <c r="E22" s="8" t="n">
        <v>0.833333333333333</v>
      </c>
      <c r="F22" s="9" t="n">
        <f aca="false">(E22-D22)*24</f>
        <v>2</v>
      </c>
      <c r="G22" s="5" t="s">
        <v>23</v>
      </c>
      <c r="H22" s="5" t="s">
        <v>14</v>
      </c>
      <c r="I22" s="10" t="n">
        <v>0</v>
      </c>
      <c r="J22" s="11" t="str">
        <f aca="false">IF(AND($J$3&gt;=$D22,$J$3&lt;$E22),$G22,"")</f>
        <v/>
      </c>
      <c r="K22" s="11" t="str">
        <f aca="false">IF(AND($K$3&gt;=$D22,$K$3&lt;$E22),$G22,"")</f>
        <v/>
      </c>
      <c r="L22" s="11" t="str">
        <f aca="false">IF(AND($L$3&gt;=$D22,$L$3&lt;$E22),$G22,"")</f>
        <v/>
      </c>
      <c r="M22" s="11" t="str">
        <f aca="false">IF(AND($M$3&gt;=$D22,$M$3&lt;$E22),$G22,"")</f>
        <v/>
      </c>
      <c r="N22" s="11" t="str">
        <f aca="false">IF(AND($N$3&gt;=$D22,$N$3&lt;$E22),$G22,"")</f>
        <v/>
      </c>
      <c r="O22" s="11" t="str">
        <f aca="false">IF(AND($O$3&gt;=$D22,$O$3&lt;$E22),$G22,"")</f>
        <v/>
      </c>
      <c r="P22" s="11" t="str">
        <f aca="false">IF(AND($P$3&gt;=$D22,$P$3&lt;$E22),$G22,"")</f>
        <v/>
      </c>
      <c r="Q22" s="11" t="str">
        <f aca="false">IF(AND($Q$3&gt;=$D22,$Q$3&lt;$E22),$G22,"")</f>
        <v/>
      </c>
      <c r="R22" s="11" t="str">
        <f aca="false">IF(AND($R$3&gt;=$D22,$R$3&lt;$E22),$G22,"")</f>
        <v/>
      </c>
      <c r="S22" s="11" t="str">
        <f aca="false">IF(AND($S$3&gt;=$D22,$S$3&lt;$E22),$G22,"")</f>
        <v/>
      </c>
      <c r="T22" s="11" t="str">
        <f aca="false">IF(AND($T$3&gt;=$D22,$T$3&lt;$E22),$G22,"")</f>
        <v>Heure sup</v>
      </c>
      <c r="U22" s="11" t="str">
        <f aca="false">IF(AND($U$3&gt;=$D22,$U$3&lt;$E22),$G22,"")</f>
        <v>Heure sup</v>
      </c>
    </row>
    <row r="24" customFormat="false" ht="15" hidden="false" customHeight="false" outlineLevel="0" collapsed="false">
      <c r="C24" s="15" t="s">
        <v>37</v>
      </c>
      <c r="F24" s="16" t="n">
        <f aca="false">SUM(F4:F22)</f>
        <v>37.5</v>
      </c>
    </row>
    <row r="26" customFormat="false" ht="15" hidden="false" customHeight="false" outlineLevel="0" collapsed="false">
      <c r="B26" s="17" t="s">
        <v>38</v>
      </c>
      <c r="C26" s="18" t="s">
        <v>39</v>
      </c>
      <c r="D26" s="19" t="s">
        <v>40</v>
      </c>
      <c r="E26" s="19"/>
    </row>
    <row r="27" customFormat="false" ht="15" hidden="false" customHeight="false" outlineLevel="0" collapsed="false">
      <c r="B27" s="17" t="s">
        <v>41</v>
      </c>
      <c r="C27" s="20" t="s">
        <v>42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</sheetData>
  <mergeCells count="4">
    <mergeCell ref="A1:U1"/>
    <mergeCell ref="A2:U2"/>
    <mergeCell ref="D26:E26"/>
    <mergeCell ref="C27:U27"/>
  </mergeCells>
  <conditionalFormatting sqref="J4:U22">
    <cfRule type="expression" priority="2" aboveAverage="0" equalAverage="0" bottom="0" percent="0" rank="0" text="" dxfId="0">
      <formula>J4="Normal"</formula>
    </cfRule>
    <cfRule type="expression" priority="3" aboveAverage="0" equalAverage="0" bottom="0" percent="0" rank="0" text="" dxfId="1">
      <formula>J4="Heure sup"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25.5" hidden="false" customHeight="true" outlineLevel="0" collapsed="false">
      <c r="A1" s="1" t="s">
        <v>43</v>
      </c>
      <c r="B1" s="1"/>
      <c r="C1" s="1"/>
      <c r="D1" s="1"/>
    </row>
    <row r="3" customFormat="false" ht="15" hidden="false" customHeight="false" outlineLevel="0" collapsed="false">
      <c r="A3" s="3" t="s">
        <v>3</v>
      </c>
      <c r="B3" s="3" t="s">
        <v>39</v>
      </c>
      <c r="C3" s="3" t="s">
        <v>44</v>
      </c>
      <c r="D3" s="3" t="s">
        <v>45</v>
      </c>
    </row>
    <row r="4" customFormat="false" ht="15" hidden="false" customHeight="false" outlineLevel="0" collapsed="false">
      <c r="A4" s="21" t="s">
        <v>11</v>
      </c>
      <c r="B4" s="22" t="n">
        <f aca="false">SUMIFS(Gantt!$F$4:$F$22,Gantt!$B$4:$B$22,$A4,Gantt!$G$4:$G$22,"Normal")</f>
        <v>4.5</v>
      </c>
      <c r="C4" s="22" t="n">
        <f aca="false">SUMIFS(Gantt!$F$4:$F$22,Gantt!$B$4:$B$22,$A4,Gantt!$G$4:$G$22,"Heure sup")</f>
        <v>0</v>
      </c>
      <c r="D4" s="22" t="n">
        <f aca="false">B4+C4</f>
        <v>4.5</v>
      </c>
    </row>
    <row r="5" customFormat="false" ht="15" hidden="false" customHeight="false" outlineLevel="0" collapsed="false">
      <c r="A5" s="23" t="s">
        <v>17</v>
      </c>
      <c r="B5" s="22" t="n">
        <f aca="false">SUMIFS(Gantt!$F$4:$F$22,Gantt!$B$4:$B$22,$A5,Gantt!$G$4:$G$22,"Normal")</f>
        <v>9</v>
      </c>
      <c r="C5" s="22" t="n">
        <f aca="false">SUMIFS(Gantt!$F$4:$F$22,Gantt!$B$4:$B$22,$A5,Gantt!$G$4:$G$22,"Heure sup")</f>
        <v>2</v>
      </c>
      <c r="D5" s="22" t="n">
        <f aca="false">B5+C5</f>
        <v>11</v>
      </c>
    </row>
    <row r="6" customFormat="false" ht="15" hidden="false" customHeight="false" outlineLevel="0" collapsed="false">
      <c r="A6" s="24" t="s">
        <v>24</v>
      </c>
      <c r="B6" s="22" t="n">
        <f aca="false">SUMIFS(Gantt!$F$4:$F$22,Gantt!$B$4:$B$22,$A6,Gantt!$G$4:$G$22,"Normal")</f>
        <v>9</v>
      </c>
      <c r="C6" s="22" t="n">
        <f aca="false">SUMIFS(Gantt!$F$4:$F$22,Gantt!$B$4:$B$22,$A6,Gantt!$G$4:$G$22,"Heure sup")</f>
        <v>2</v>
      </c>
      <c r="D6" s="22" t="n">
        <f aca="false">B6+C6</f>
        <v>11</v>
      </c>
    </row>
    <row r="7" customFormat="false" ht="15" hidden="false" customHeight="false" outlineLevel="0" collapsed="false">
      <c r="A7" s="25" t="s">
        <v>30</v>
      </c>
      <c r="B7" s="22" t="n">
        <f aca="false">SUMIFS(Gantt!$F$4:$F$22,Gantt!$B$4:$B$22,$A7,Gantt!$G$4:$G$22,"Normal")</f>
        <v>9</v>
      </c>
      <c r="C7" s="22" t="n">
        <f aca="false">SUMIFS(Gantt!$F$4:$F$22,Gantt!$B$4:$B$22,$A7,Gantt!$G$4:$G$22,"Heure sup")</f>
        <v>2</v>
      </c>
      <c r="D7" s="22" t="n">
        <f aca="false">B7+C7</f>
        <v>11</v>
      </c>
    </row>
    <row r="8" customFormat="false" ht="15" hidden="false" customHeight="false" outlineLevel="0" collapsed="false">
      <c r="A8" s="15" t="s">
        <v>37</v>
      </c>
      <c r="B8" s="26" t="n">
        <f aca="false">SUM(B4:B7)</f>
        <v>31.5</v>
      </c>
      <c r="C8" s="26" t="n">
        <f aca="false">SUM(C4:C7)</f>
        <v>6</v>
      </c>
      <c r="D8" s="26" t="n">
        <f aca="false">SUM(D4:D7)</f>
        <v>37.5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2026-09-14T09:28:29Z</dcterms:created>
  <dc:creator>openpyxl</dc:creator>
  <dc:description/>
  <dc:language>en-US</dc:language>
  <cp:lastModifiedBy/>
  <dcterms:modified xsi:type="dcterms:W3CDTF">2026-09-14T09:28:34Z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